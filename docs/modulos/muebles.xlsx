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F8D65EA9-70CE-4113-B036-FF7CE9CED188/Library/Application Support/Drafts/"/>
    </mc:Choice>
  </mc:AlternateContent>
  <xr:revisionPtr revIDLastSave="4124" documentId="8_{59CB611E-D420-CA49-BE14-D2EFBD92BA4A}" xr6:coauthVersionLast="47" xr6:coauthVersionMax="47" xr10:uidLastSave="{0CB383E6-0EC0-3842-9FA2-3141D11E0242}"/>
  <bookViews>
    <workbookView xWindow="0" yWindow="0" windowWidth="0" windowHeight="0" activeTab="23" xr2:uid="{00000000-000D-0000-FFFF-FFFF00000000}"/>
  </bookViews>
  <sheets>
    <sheet name="Cajonera 3c" sheetId="1" r:id="rId1"/>
    <sheet name="Especiero " sheetId="25" r:id="rId2"/>
    <sheet name="Alac levad 2 p" sheetId="26" r:id="rId3"/>
    <sheet name="Escobero " sheetId="16" r:id="rId4"/>
    <sheet name="Mesa lus flot " sheetId="21" r:id="rId5"/>
    <sheet name="Mesa dé luz " sheetId="22" r:id="rId6"/>
    <sheet name="Esquí-p.fíj" sheetId="12" r:id="rId7"/>
    <sheet name="Caj dob 4c" sheetId="14" r:id="rId8"/>
    <sheet name="Sobre helad" sheetId="17" r:id="rId9"/>
    <sheet name="Alac 4p lev" sheetId="30" r:id="rId10"/>
    <sheet name="Alac.plac.fij." sheetId="31" r:id="rId11"/>
    <sheet name="Alac 1pL" sheetId="15" r:id="rId12"/>
    <sheet name="Módulo micro" sheetId="23" r:id="rId13"/>
    <sheet name="Armario 2p" sheetId="18" r:id="rId14"/>
    <sheet name="Módulo abierto" sheetId="19" r:id="rId15"/>
    <sheet name="Torré horno " sheetId="13" r:id="rId16"/>
    <sheet name="Despensero 4p" sheetId="20" r:id="rId17"/>
    <sheet name="Bajo 2p" sheetId="3" r:id="rId18"/>
    <sheet name="Placard 2p en esp" sheetId="5" r:id="rId19"/>
    <sheet name="Placard 3p" sheetId="33" r:id="rId20"/>
    <sheet name="Int.placard + frente" sheetId="32" r:id="rId21"/>
    <sheet name="Bajo 2p3c" sheetId="2" r:id="rId22"/>
    <sheet name="Esq PF 2 pue " sheetId="24" r:id="rId23"/>
    <sheet name="Placard 2p 1Lp" sheetId="10" r:id="rId24"/>
    <sheet name="Cajone 2c" sheetId="11" r:id="rId25"/>
    <sheet name="Esquinero " sheetId="6" r:id="rId26"/>
    <sheet name="Alac 2pA" sheetId="8" r:id="rId27"/>
    <sheet name="Bajo 1p" sheetId="4" r:id="rId28"/>
    <sheet name="Bajo 3p" sheetId="7" r:id="rId29"/>
    <sheet name="Vanitory 2c" sheetId="28" r:id="rId30"/>
    <sheet name="Bajo 4 p" sheetId="29" r:id="rId31"/>
    <sheet name="Alac 3p A" sheetId="9" r:id="rId32"/>
    <sheet name="Hoja1" sheetId="34" r:id="rId33"/>
    <sheet name="Alac 4p" sheetId="27" r:id="rId34"/>
  </sheets>
  <definedNames>
    <definedName name="_xlnm._FilterDatabase" localSheetId="22" hidden="1">'Esq PF 2 pue '!$B$4:$C$6</definedName>
    <definedName name="_xlnm._FilterDatabase" localSheetId="0" hidden="1">'Cajonera 3c'!$B$3:$C$5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C23" i="5"/>
  <c r="D23" i="5"/>
  <c r="D9" i="33"/>
  <c r="C10" i="1"/>
  <c r="D18" i="1"/>
  <c r="D20" i="1"/>
  <c r="E25" i="33"/>
  <c r="D25" i="33"/>
  <c r="D23" i="33"/>
  <c r="D24" i="33"/>
  <c r="E22" i="33"/>
  <c r="D22" i="33"/>
  <c r="E9" i="33"/>
  <c r="E11" i="33"/>
  <c r="E13" i="33"/>
  <c r="E12" i="33"/>
  <c r="E14" i="33"/>
  <c r="E19" i="33"/>
  <c r="E20" i="33"/>
  <c r="D20" i="33"/>
  <c r="D19" i="33"/>
  <c r="D11" i="33"/>
  <c r="D10" i="33"/>
  <c r="D12" i="33"/>
  <c r="D16" i="33"/>
  <c r="D14" i="33"/>
  <c r="D15" i="33"/>
  <c r="E10" i="33"/>
  <c r="C9" i="10"/>
  <c r="C14" i="10"/>
  <c r="C10" i="10"/>
  <c r="C8" i="2"/>
  <c r="D8" i="2"/>
  <c r="D27" i="2"/>
  <c r="B30" i="2"/>
  <c r="E27" i="2"/>
  <c r="C10" i="2"/>
  <c r="C12" i="2"/>
  <c r="D12" i="2"/>
  <c r="D31" i="2"/>
  <c r="C14" i="2"/>
  <c r="D33" i="2"/>
  <c r="C13" i="2"/>
  <c r="D13" i="2"/>
  <c r="D32" i="2"/>
  <c r="C21" i="2"/>
  <c r="D34" i="2"/>
  <c r="D10" i="2"/>
  <c r="D29" i="2"/>
  <c r="C11" i="2"/>
  <c r="D30" i="2"/>
  <c r="D18" i="2"/>
  <c r="D36" i="2"/>
  <c r="D20" i="2"/>
  <c r="D38" i="2"/>
  <c r="D9" i="2"/>
  <c r="C9" i="2"/>
  <c r="D28" i="2"/>
  <c r="D40" i="2"/>
  <c r="E28" i="2"/>
  <c r="E29" i="2"/>
  <c r="E31" i="2"/>
  <c r="E30" i="2"/>
  <c r="E32" i="2"/>
  <c r="E33" i="2"/>
  <c r="E34" i="2"/>
  <c r="E35" i="2"/>
  <c r="E36" i="2"/>
  <c r="E37" i="2"/>
  <c r="E38" i="2"/>
  <c r="E40" i="2"/>
  <c r="D37" i="2"/>
  <c r="D35" i="2"/>
  <c r="B27" i="24"/>
  <c r="D8" i="24"/>
  <c r="E8" i="24"/>
  <c r="D16" i="24"/>
  <c r="E9" i="24"/>
  <c r="D13" i="24"/>
  <c r="E16" i="24"/>
  <c r="D10" i="24"/>
  <c r="D9" i="24"/>
  <c r="C22" i="2"/>
  <c r="C8" i="10"/>
  <c r="C13" i="10"/>
  <c r="C11" i="10"/>
  <c r="C14" i="12"/>
  <c r="D9" i="25"/>
  <c r="D13" i="25"/>
  <c r="D14" i="25"/>
  <c r="C9" i="8"/>
  <c r="D11" i="8"/>
  <c r="C10" i="15"/>
  <c r="D12" i="15"/>
  <c r="E12" i="31"/>
  <c r="C12" i="5"/>
  <c r="C11" i="5"/>
  <c r="D12" i="9"/>
  <c r="D11" i="27"/>
  <c r="C8" i="6"/>
  <c r="E15" i="23"/>
  <c r="E11" i="30"/>
  <c r="D9" i="15"/>
  <c r="D11" i="15"/>
  <c r="D12" i="31"/>
  <c r="E15" i="31"/>
  <c r="D15" i="31"/>
  <c r="D13" i="31"/>
  <c r="E11" i="31"/>
  <c r="E10" i="31"/>
  <c r="E9" i="31"/>
  <c r="E8" i="31"/>
  <c r="D11" i="31"/>
  <c r="D10" i="31"/>
  <c r="D9" i="31"/>
  <c r="D8" i="31"/>
  <c r="D11" i="30"/>
  <c r="E12" i="30"/>
  <c r="D12" i="30"/>
  <c r="E10" i="30"/>
  <c r="D10" i="30"/>
  <c r="E9" i="30"/>
  <c r="D9" i="30"/>
  <c r="E8" i="30"/>
  <c r="D8" i="30"/>
  <c r="E7" i="30"/>
  <c r="D7" i="30"/>
  <c r="C13" i="13"/>
  <c r="C9" i="13"/>
  <c r="C19" i="13"/>
  <c r="D9" i="27"/>
  <c r="C9" i="12"/>
  <c r="C16" i="12"/>
  <c r="D17" i="29"/>
  <c r="D16" i="29"/>
  <c r="E19" i="29"/>
  <c r="D19" i="29"/>
  <c r="E14" i="29"/>
  <c r="D14" i="29"/>
  <c r="E13" i="29"/>
  <c r="D13" i="29"/>
  <c r="D10" i="29"/>
  <c r="D11" i="29"/>
  <c r="D12" i="29"/>
  <c r="E9" i="29"/>
  <c r="D9" i="29"/>
  <c r="E8" i="29"/>
  <c r="D8" i="29"/>
  <c r="E24" i="28"/>
  <c r="D24" i="28"/>
  <c r="D15" i="28"/>
  <c r="E23" i="28"/>
  <c r="D23" i="28"/>
  <c r="D17" i="28"/>
  <c r="D21" i="28"/>
  <c r="D20" i="28"/>
  <c r="D18" i="28"/>
  <c r="D12" i="28"/>
  <c r="D13" i="28"/>
  <c r="D11" i="28"/>
  <c r="E11" i="28"/>
  <c r="D10" i="28"/>
  <c r="E9" i="28"/>
  <c r="D9" i="28"/>
  <c r="E8" i="28"/>
  <c r="D8" i="28"/>
  <c r="C8" i="7"/>
  <c r="D7" i="25"/>
  <c r="E13" i="27"/>
  <c r="D13" i="27"/>
  <c r="E11" i="27"/>
  <c r="D10" i="27"/>
  <c r="E10" i="27"/>
  <c r="E9" i="27"/>
  <c r="E8" i="27"/>
  <c r="D8" i="27"/>
  <c r="E13" i="23"/>
  <c r="D13" i="23"/>
  <c r="E13" i="26"/>
  <c r="D13" i="26"/>
  <c r="E11" i="26"/>
  <c r="D11" i="26"/>
  <c r="E9" i="26"/>
  <c r="E10" i="26"/>
  <c r="D10" i="26"/>
  <c r="E8" i="26"/>
  <c r="D9" i="26"/>
  <c r="D8" i="26"/>
  <c r="E7" i="26"/>
  <c r="D7" i="26"/>
  <c r="E17" i="25"/>
  <c r="D17" i="25"/>
  <c r="D15" i="25"/>
  <c r="E12" i="25"/>
  <c r="D12" i="25"/>
  <c r="D10" i="25"/>
  <c r="D11" i="25"/>
  <c r="E8" i="25"/>
  <c r="D8" i="25"/>
  <c r="E7" i="25"/>
  <c r="E18" i="24"/>
  <c r="D18" i="24"/>
  <c r="E14" i="24"/>
  <c r="E13" i="24"/>
  <c r="D15" i="24"/>
  <c r="D11" i="24"/>
  <c r="D12" i="24"/>
  <c r="D14" i="24"/>
  <c r="C12" i="18"/>
  <c r="D15" i="23"/>
  <c r="E12" i="23"/>
  <c r="D12" i="23"/>
  <c r="E11" i="23"/>
  <c r="D11" i="23"/>
  <c r="E10" i="23"/>
  <c r="D10" i="23"/>
  <c r="E9" i="23"/>
  <c r="D9" i="23"/>
  <c r="D11" i="21"/>
  <c r="E18" i="22"/>
  <c r="D18" i="22"/>
  <c r="E17" i="22"/>
  <c r="D17" i="22"/>
  <c r="D15" i="22"/>
  <c r="D14" i="22"/>
  <c r="D13" i="22"/>
  <c r="D9" i="22"/>
  <c r="E12" i="22"/>
  <c r="D12" i="22"/>
  <c r="D11" i="22"/>
  <c r="E10" i="22"/>
  <c r="D10" i="22"/>
  <c r="E9" i="22"/>
  <c r="E8" i="22"/>
  <c r="D8" i="22"/>
  <c r="E7" i="22"/>
  <c r="D7" i="22"/>
  <c r="E13" i="21"/>
  <c r="D13" i="21"/>
  <c r="D9" i="21"/>
  <c r="E10" i="21"/>
  <c r="D10" i="21"/>
  <c r="E9" i="21"/>
  <c r="E8" i="21"/>
  <c r="D8" i="21"/>
  <c r="E7" i="21"/>
  <c r="D7" i="21"/>
  <c r="D24" i="1"/>
  <c r="D19" i="14"/>
  <c r="D17" i="3"/>
  <c r="D25" i="2"/>
  <c r="D21" i="11"/>
  <c r="D18" i="7"/>
  <c r="D17" i="4"/>
  <c r="D15" i="10"/>
  <c r="D18" i="10"/>
  <c r="C8" i="14"/>
  <c r="D15" i="14"/>
  <c r="D15" i="13"/>
  <c r="C17" i="20"/>
  <c r="D17" i="20"/>
  <c r="C15" i="20"/>
  <c r="D15" i="20"/>
  <c r="D14" i="20"/>
  <c r="C14" i="20"/>
  <c r="C13" i="20"/>
  <c r="C12" i="20"/>
  <c r="C11" i="20"/>
  <c r="D11" i="20"/>
  <c r="D10" i="20"/>
  <c r="C10" i="20"/>
  <c r="D9" i="20"/>
  <c r="D8" i="20"/>
  <c r="C9" i="20"/>
  <c r="C8" i="20"/>
  <c r="D8" i="6"/>
  <c r="D19" i="5"/>
  <c r="D13" i="6"/>
  <c r="D12" i="6"/>
  <c r="D15" i="7"/>
  <c r="D13" i="4"/>
  <c r="D11" i="3"/>
  <c r="D15" i="12"/>
  <c r="D15" i="1"/>
  <c r="D13" i="14"/>
  <c r="D13" i="11"/>
  <c r="D10" i="18"/>
  <c r="C9" i="3"/>
  <c r="D12" i="3"/>
  <c r="D9" i="3"/>
  <c r="D8" i="3"/>
  <c r="C8" i="3"/>
  <c r="D7" i="18"/>
  <c r="C9" i="18"/>
  <c r="C11" i="19"/>
  <c r="C10" i="19"/>
  <c r="D12" i="19"/>
  <c r="C12" i="19"/>
  <c r="D9" i="19"/>
  <c r="D8" i="19"/>
  <c r="D7" i="19"/>
  <c r="C9" i="19"/>
  <c r="C8" i="19"/>
  <c r="C7" i="19"/>
  <c r="D14" i="18"/>
  <c r="C14" i="18"/>
  <c r="D9" i="18"/>
  <c r="D8" i="18"/>
  <c r="C11" i="18"/>
  <c r="C10" i="18"/>
  <c r="C8" i="18"/>
  <c r="C7" i="18"/>
  <c r="C11" i="16"/>
  <c r="C9" i="9"/>
  <c r="D8" i="9"/>
  <c r="C8" i="9"/>
  <c r="D14" i="7"/>
  <c r="D13" i="7"/>
  <c r="D9" i="7"/>
  <c r="D8" i="7"/>
  <c r="C9" i="7"/>
  <c r="D9" i="4"/>
  <c r="D8" i="4"/>
  <c r="C9" i="4"/>
  <c r="C8" i="4"/>
  <c r="D11" i="6"/>
  <c r="D9" i="6"/>
  <c r="C9" i="6"/>
  <c r="C9" i="11"/>
  <c r="D9" i="11"/>
  <c r="D8" i="11"/>
  <c r="C8" i="11"/>
  <c r="D14" i="10"/>
  <c r="D13" i="10"/>
  <c r="D11" i="10"/>
  <c r="D12" i="10"/>
  <c r="D10" i="10"/>
  <c r="D9" i="10"/>
  <c r="D8" i="10"/>
  <c r="D13" i="5"/>
  <c r="D12" i="5"/>
  <c r="D11" i="5"/>
  <c r="D10" i="5"/>
  <c r="D9" i="5"/>
  <c r="D8" i="5"/>
  <c r="C8" i="5"/>
  <c r="D12" i="13"/>
  <c r="C12" i="13"/>
  <c r="C9" i="15"/>
  <c r="C9" i="17"/>
  <c r="D8" i="17"/>
  <c r="C8" i="17"/>
  <c r="C9" i="14"/>
  <c r="D8" i="14"/>
  <c r="D11" i="12"/>
  <c r="D9" i="12"/>
  <c r="D8" i="12"/>
  <c r="C8" i="12"/>
  <c r="C9" i="16"/>
  <c r="D8" i="16"/>
  <c r="C8" i="16"/>
  <c r="C11" i="1"/>
  <c r="D11" i="1"/>
  <c r="D10" i="1"/>
  <c r="D8" i="8"/>
  <c r="C8" i="8"/>
  <c r="C12" i="8"/>
  <c r="D14" i="15"/>
  <c r="C14" i="15"/>
  <c r="C12" i="15"/>
  <c r="C11" i="15"/>
  <c r="D10" i="15"/>
  <c r="D15" i="6"/>
  <c r="D14" i="17"/>
  <c r="C14" i="17"/>
  <c r="D11" i="17"/>
  <c r="D10" i="17"/>
  <c r="D9" i="17"/>
  <c r="C11" i="17"/>
  <c r="C10" i="17"/>
  <c r="C20" i="16"/>
  <c r="C21" i="16"/>
  <c r="D21" i="16"/>
  <c r="D20" i="16"/>
  <c r="D17" i="16"/>
  <c r="C17" i="16"/>
  <c r="C14" i="16"/>
  <c r="C13" i="16"/>
  <c r="C10" i="16"/>
  <c r="D12" i="16"/>
  <c r="D11" i="16"/>
  <c r="D10" i="16"/>
  <c r="C12" i="16"/>
  <c r="D9" i="16"/>
  <c r="C12" i="14"/>
  <c r="C11" i="14"/>
  <c r="D9" i="14"/>
  <c r="C16" i="14"/>
  <c r="C19" i="14"/>
  <c r="D18" i="14"/>
  <c r="C18" i="14"/>
  <c r="C13" i="14"/>
  <c r="C10" i="14"/>
  <c r="D19" i="13"/>
  <c r="D18" i="13"/>
  <c r="C18" i="13"/>
  <c r="D16" i="13"/>
  <c r="D14" i="13"/>
  <c r="D13" i="13"/>
  <c r="C16" i="13"/>
  <c r="C15" i="13"/>
  <c r="C14" i="13"/>
  <c r="C17" i="12"/>
  <c r="D20" i="12"/>
  <c r="C20" i="12"/>
  <c r="C15" i="12"/>
  <c r="C13" i="12"/>
  <c r="C12" i="12"/>
  <c r="C11" i="12"/>
  <c r="C10" i="12"/>
  <c r="D14" i="12"/>
  <c r="D20" i="11"/>
  <c r="C19" i="10"/>
  <c r="E22" i="10"/>
  <c r="D23" i="10"/>
  <c r="C23" i="10"/>
  <c r="D22" i="10"/>
  <c r="C22" i="10"/>
  <c r="C16" i="10"/>
  <c r="C15" i="10"/>
  <c r="D17" i="5"/>
  <c r="C15" i="4"/>
  <c r="D14" i="9"/>
  <c r="C14" i="9"/>
  <c r="D11" i="9"/>
  <c r="D10" i="9"/>
  <c r="C12" i="9"/>
  <c r="C11" i="9"/>
  <c r="C10" i="9"/>
  <c r="D9" i="9"/>
  <c r="D12" i="8"/>
  <c r="D9" i="8"/>
  <c r="C11" i="8"/>
  <c r="D10" i="8"/>
  <c r="C10" i="8"/>
  <c r="C13" i="4"/>
  <c r="D16" i="6"/>
  <c r="C10" i="6"/>
  <c r="C13" i="6"/>
  <c r="C16" i="6"/>
  <c r="C15" i="6"/>
  <c r="C14" i="6"/>
  <c r="C12" i="6"/>
  <c r="C11" i="6"/>
  <c r="C15" i="3"/>
  <c r="C21" i="1"/>
  <c r="C15" i="7"/>
  <c r="C13" i="7"/>
  <c r="C14" i="7"/>
  <c r="C18" i="7"/>
  <c r="C16" i="7"/>
  <c r="C12" i="7"/>
  <c r="C11" i="7"/>
  <c r="C10" i="7"/>
  <c r="C11" i="3"/>
  <c r="C20" i="5"/>
  <c r="C10" i="5"/>
  <c r="C19" i="5"/>
  <c r="C22" i="5"/>
  <c r="C15" i="5"/>
  <c r="C12" i="4"/>
  <c r="C11" i="4"/>
  <c r="C17" i="4"/>
  <c r="C14" i="4"/>
  <c r="C10" i="4"/>
  <c r="C16" i="2"/>
  <c r="C15" i="2"/>
  <c r="C14" i="3"/>
  <c r="C13" i="3"/>
  <c r="C17" i="3"/>
  <c r="C12" i="3"/>
  <c r="C10" i="3"/>
  <c r="C25" i="2"/>
  <c r="C24" i="2"/>
  <c r="C24" i="1"/>
  <c r="D25" i="1"/>
  <c r="C16" i="1"/>
  <c r="C15" i="1"/>
  <c r="C14" i="1"/>
  <c r="C13" i="1"/>
  <c r="C12" i="1"/>
  <c r="C21" i="11"/>
  <c r="D15" i="11"/>
  <c r="C20" i="11"/>
  <c r="C16" i="11"/>
  <c r="C13" i="11"/>
  <c r="C12" i="11"/>
  <c r="C11" i="11"/>
  <c r="C10" i="11"/>
</calcChain>
</file>

<file path=xl/sharedStrings.xml><?xml version="1.0" encoding="utf-8"?>
<sst xmlns="http://schemas.openxmlformats.org/spreadsheetml/2006/main" count="458" uniqueCount="175">
  <si>
    <t xml:space="preserve">Cajonera </t>
  </si>
  <si>
    <t xml:space="preserve">Piso </t>
  </si>
  <si>
    <t>Lateral</t>
  </si>
  <si>
    <t>Travesaño</t>
  </si>
  <si>
    <t>Gola m</t>
  </si>
  <si>
    <t xml:space="preserve"> Int caj</t>
  </si>
  <si>
    <t xml:space="preserve">Fondo </t>
  </si>
  <si>
    <t>Fondo caj</t>
  </si>
  <si>
    <t>Bajo 2pu</t>
  </si>
  <si>
    <t xml:space="preserve">3 cajones </t>
  </si>
  <si>
    <t xml:space="preserve">Lateral </t>
  </si>
  <si>
    <t>Frent caj</t>
  </si>
  <si>
    <t xml:space="preserve">Estante </t>
  </si>
  <si>
    <t xml:space="preserve">Puertas </t>
  </si>
  <si>
    <t xml:space="preserve">Travesaño </t>
  </si>
  <si>
    <t>Gola mel</t>
  </si>
  <si>
    <t>Int cajón</t>
  </si>
  <si>
    <t>Zócalo</t>
  </si>
  <si>
    <t>Modulo</t>
  </si>
  <si>
    <t>2 puertas</t>
  </si>
  <si>
    <t>Puestas</t>
  </si>
  <si>
    <t>Fondo</t>
  </si>
  <si>
    <t xml:space="preserve">Gola mela </t>
  </si>
  <si>
    <t>Fren Caj</t>
  </si>
  <si>
    <t xml:space="preserve">Bajo 1 puerta </t>
  </si>
  <si>
    <t xml:space="preserve">Lateral  </t>
  </si>
  <si>
    <t xml:space="preserve">Puerta </t>
  </si>
  <si>
    <t xml:space="preserve">Placard en espejo  2 puertas </t>
  </si>
  <si>
    <t>Piso techo</t>
  </si>
  <si>
    <t xml:space="preserve">Baulera </t>
  </si>
  <si>
    <t>Div bauler</t>
  </si>
  <si>
    <t xml:space="preserve">Estantes </t>
  </si>
  <si>
    <t>Div estant</t>
  </si>
  <si>
    <t xml:space="preserve">Fren cajón </t>
  </si>
  <si>
    <t>Int cajon</t>
  </si>
  <si>
    <t xml:space="preserve">Zócalos </t>
  </si>
  <si>
    <t>Div centr</t>
  </si>
  <si>
    <t>Piso</t>
  </si>
  <si>
    <t>Laterales</t>
  </si>
  <si>
    <t>Gola mela</t>
  </si>
  <si>
    <t>Estante</t>
  </si>
  <si>
    <t>Puertas</t>
  </si>
  <si>
    <t xml:space="preserve">Zocalos </t>
  </si>
  <si>
    <t>Zocalo</t>
  </si>
  <si>
    <t>Esquinero</t>
  </si>
  <si>
    <t xml:space="preserve">Estante  </t>
  </si>
  <si>
    <t>Parante</t>
  </si>
  <si>
    <t>Fondos</t>
  </si>
  <si>
    <t>Puerta</t>
  </si>
  <si>
    <t xml:space="preserve">Alacena </t>
  </si>
  <si>
    <t>De abrir</t>
  </si>
  <si>
    <t>3 puertas de abrir</t>
  </si>
  <si>
    <t xml:space="preserve">Laterales </t>
  </si>
  <si>
    <t>Zocalos</t>
  </si>
  <si>
    <t xml:space="preserve">Placard </t>
  </si>
  <si>
    <t xml:space="preserve">Un lado perchero </t>
  </si>
  <si>
    <t>Div. Centr</t>
  </si>
  <si>
    <t>Div. Están</t>
  </si>
  <si>
    <t>Div. Baule</t>
  </si>
  <si>
    <t>F-caj</t>
  </si>
  <si>
    <t>Int caj</t>
  </si>
  <si>
    <t>Dos cajones</t>
  </si>
  <si>
    <t>Frente caj</t>
  </si>
  <si>
    <t xml:space="preserve">Int cajón </t>
  </si>
  <si>
    <t xml:space="preserve">Fondo cajón </t>
  </si>
  <si>
    <t xml:space="preserve">Esquinero </t>
  </si>
  <si>
    <t xml:space="preserve">Placa fija </t>
  </si>
  <si>
    <t>Plac fija</t>
  </si>
  <si>
    <t xml:space="preserve">Torre </t>
  </si>
  <si>
    <t xml:space="preserve">Horno </t>
  </si>
  <si>
    <t>Estantes</t>
  </si>
  <si>
    <t>Puert abaj</t>
  </si>
  <si>
    <t xml:space="preserve">Puer arriba </t>
  </si>
  <si>
    <t>Luz abaj</t>
  </si>
  <si>
    <t>Luz horno</t>
  </si>
  <si>
    <t>Luz micro</t>
  </si>
  <si>
    <t>Luz arriba</t>
  </si>
  <si>
    <t>Cajonera doble [4]</t>
  </si>
  <si>
    <t>Fondo 15mm</t>
  </si>
  <si>
    <t>Módulo escobero</t>
  </si>
  <si>
    <t>Puer abaj</t>
  </si>
  <si>
    <t>Puer arrib</t>
  </si>
  <si>
    <t>Luz abajo</t>
  </si>
  <si>
    <t xml:space="preserve">Opción 2 </t>
  </si>
  <si>
    <t xml:space="preserve">Módulo sobre heladera </t>
  </si>
  <si>
    <t>Ancho</t>
  </si>
  <si>
    <t>Alto</t>
  </si>
  <si>
    <t xml:space="preserve">Profund </t>
  </si>
  <si>
    <t xml:space="preserve">Ancho </t>
  </si>
  <si>
    <t>Profund</t>
  </si>
  <si>
    <t xml:space="preserve">Alto </t>
  </si>
  <si>
    <t>Bajo 3</t>
  </si>
  <si>
    <t xml:space="preserve">Armario 2 puertas </t>
  </si>
  <si>
    <t xml:space="preserve">Módulo abierto </t>
  </si>
  <si>
    <t>Bajo</t>
  </si>
  <si>
    <t>Despensero 4 puertas</t>
  </si>
  <si>
    <t>Est. medio</t>
  </si>
  <si>
    <t>Puert arrib</t>
  </si>
  <si>
    <t>Puert Abaj</t>
  </si>
  <si>
    <t xml:space="preserve">Mesa de Luis flotante </t>
  </si>
  <si>
    <t>Tapa</t>
  </si>
  <si>
    <t xml:space="preserve">Mesa de luz </t>
  </si>
  <si>
    <t xml:space="preserve">Módulo micro </t>
  </si>
  <si>
    <t>Prof piso</t>
  </si>
  <si>
    <t>Luz alto mic</t>
  </si>
  <si>
    <t>Techo</t>
  </si>
  <si>
    <t xml:space="preserve">Esquinero placa fija 2 puertas </t>
  </si>
  <si>
    <t xml:space="preserve">Gola </t>
  </si>
  <si>
    <t xml:space="preserve">Placa fíja </t>
  </si>
  <si>
    <t xml:space="preserve">Parante </t>
  </si>
  <si>
    <t xml:space="preserve">Especiero </t>
  </si>
  <si>
    <t>Gola</t>
  </si>
  <si>
    <t xml:space="preserve">Frente </t>
  </si>
  <si>
    <t>Estant-piso</t>
  </si>
  <si>
    <t>Trasera-fron</t>
  </si>
  <si>
    <t>Costados</t>
  </si>
  <si>
    <t xml:space="preserve">Alacena levadiza 2 puertas </t>
  </si>
  <si>
    <t>Profundid</t>
  </si>
  <si>
    <t>Pisotecho</t>
  </si>
  <si>
    <t xml:space="preserve">División </t>
  </si>
  <si>
    <t>J</t>
  </si>
  <si>
    <t>Alacena 4 puertas</t>
  </si>
  <si>
    <t>Piso-tech</t>
  </si>
  <si>
    <t>Profund.</t>
  </si>
  <si>
    <t>Vanitory 2cajones 1enC</t>
  </si>
  <si>
    <t>N5 trasera centdro</t>
  </si>
  <si>
    <t>N4 lateral corto</t>
  </si>
  <si>
    <t xml:space="preserve">N3 traseras </t>
  </si>
  <si>
    <t>N2 laterales</t>
  </si>
  <si>
    <t xml:space="preserve">N1 contra frente </t>
  </si>
  <si>
    <t xml:space="preserve">Bajomesada 4 puertas </t>
  </si>
  <si>
    <t>Fondo arriba</t>
  </si>
  <si>
    <t xml:space="preserve">Fondo abajo </t>
  </si>
  <si>
    <t>Alacena 4 puertas levadizas</t>
  </si>
  <si>
    <t xml:space="preserve">Estante div </t>
  </si>
  <si>
    <t>Estant reg</t>
  </si>
  <si>
    <t xml:space="preserve">Alacena placa fija </t>
  </si>
  <si>
    <t xml:space="preserve">Prof </t>
  </si>
  <si>
    <t xml:space="preserve">        Ancho placa fija</t>
  </si>
  <si>
    <t>Plac.fija</t>
  </si>
  <si>
    <t xml:space="preserve">Alacena 1 puerta </t>
  </si>
  <si>
    <t xml:space="preserve">Div baulera </t>
  </si>
  <si>
    <t xml:space="preserve">Interior de placard más frente </t>
  </si>
  <si>
    <t xml:space="preserve">Ancho módulos </t>
  </si>
  <si>
    <t>Travesano</t>
  </si>
  <si>
    <t>Frent-caj</t>
  </si>
  <si>
    <t>Int-cajon</t>
  </si>
  <si>
    <t>Puertss</t>
  </si>
  <si>
    <t>Travesanos</t>
  </si>
  <si>
    <t>Precio placa</t>
  </si>
  <si>
    <t>Precio m2</t>
  </si>
  <si>
    <t>Alto baulera</t>
  </si>
  <si>
    <t xml:space="preserve">Placard 3 puertas </t>
  </si>
  <si>
    <t>Alto bauler</t>
  </si>
  <si>
    <t>Divis. está</t>
  </si>
  <si>
    <t>Divis. Cajo</t>
  </si>
  <si>
    <t>Están chic</t>
  </si>
  <si>
    <t xml:space="preserve">Techo baule </t>
  </si>
  <si>
    <t xml:space="preserve">Later. Baul </t>
  </si>
  <si>
    <t xml:space="preserve">Lateral termin </t>
  </si>
  <si>
    <t>Sobre zocytech</t>
  </si>
  <si>
    <t>Frent zócalo</t>
  </si>
  <si>
    <t xml:space="preserve">De embutir </t>
  </si>
  <si>
    <t>Material</t>
  </si>
  <si>
    <t xml:space="preserve">Largo </t>
  </si>
  <si>
    <t xml:space="preserve">Cantidad </t>
  </si>
  <si>
    <t xml:space="preserve">Canto largo </t>
  </si>
  <si>
    <t xml:space="preserve">Canto ancho </t>
  </si>
  <si>
    <t xml:space="preserve">Nombre cliente </t>
  </si>
  <si>
    <t xml:space="preserve">Nombre producto </t>
  </si>
  <si>
    <t xml:space="preserve">Blanco </t>
  </si>
  <si>
    <t xml:space="preserve">Canto </t>
  </si>
  <si>
    <t>Canto</t>
  </si>
  <si>
    <t>José</t>
  </si>
  <si>
    <t>Nogal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</si>
</sst>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Border="1"/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5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270600</xdr:colOff>
      <xdr:row>29</xdr:row>
      <xdr:rowOff>29580</xdr:rowOff>
    </xdr:from>
    <xdr:to>
      <xdr:col>1</xdr:col>
      <xdr:colOff>270960</xdr:colOff>
      <xdr:row>29</xdr:row>
      <xdr:rowOff>29940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15EBCF1F-B0D2-91F0-5EDC-302ACA0FD073}"/>
                </a:ext>
                <a:ext uri="{147F2762-F138-4A5C-976F-8EAC2B608ADB}">
                  <a16:predDERef xmlns:a16="http://schemas.microsoft.com/office/drawing/2014/main" pred="{71440754-4D00-4C78-EE30-2F9926825330}"/>
                </a:ext>
              </a:extLst>
            </xdr14:cNvPr>
            <xdr14:cNvContentPartPr/>
          </xdr14:nvContentPartPr>
          <xdr14:nvPr macro=""/>
          <xdr14:xfrm>
            <a:off x="880200" y="5554080"/>
            <a:ext cx="360" cy="3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15EBCF1F-B0D2-91F0-5EDC-302ACA0FD073}"/>
                </a:ext>
                <a:ext uri="{147F2762-F138-4A5C-976F-8EAC2B608ADB}">
                  <a16:predDERef xmlns:a16="http://schemas.microsoft.com/office/drawing/2014/main" pred="{71440754-4D00-4C78-EE30-2F99268253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1560" y="5545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270600</xdr:colOff>
      <xdr:row>101</xdr:row>
      <xdr:rowOff>29580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C66B02EA-A3CF-A64C-980A-45E760A93CF8}"/>
                </a:ext>
                <a:ext uri="{147F2762-F138-4A5C-976F-8EAC2B608ADB}">
                  <a16:predDERef xmlns:a16="http://schemas.microsoft.com/office/drawing/2014/main" pred="{1E5C6728-5556-C046-B4B9-371D97BBB507}"/>
                </a:ext>
              </a:extLst>
            </xdr14:cNvPr>
            <xdr14:cNvContentPartPr/>
          </xdr14:nvContentPartPr>
          <xdr14:nvPr macro=""/>
          <xdr14:xfrm>
            <a:off x="880200" y="5554080"/>
            <a:ext cx="360" cy="36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C66B02EA-A3CF-A64C-980A-45E760A93CF8}"/>
                </a:ext>
                <a:ext uri="{147F2762-F138-4A5C-976F-8EAC2B608ADB}">
                  <a16:predDERef xmlns:a16="http://schemas.microsoft.com/office/drawing/2014/main" pred="{1E5C6728-5556-C046-B4B9-371D97BBB5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1560" y="5545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1-17T19:58:10.8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1-17T19:59:11.7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8781-987D-274E-8F17-7A2E9256A0E6}">
  <dimension ref="A1:E32"/>
  <sheetViews>
    <sheetView topLeftCell="A3" zoomScaleNormal="100" zoomScaleSheetLayoutView="100" workbookViewId="0">
      <selection activeCell="G6" sqref="G6"/>
    </sheetView>
  </sheetViews>
  <sheetFormatPr defaultRowHeight="15" x14ac:dyDescent="0.2"/>
  <sheetData>
    <row r="1" spans="1:5" x14ac:dyDescent="0.2">
      <c r="A1" s="1" t="s">
        <v>0</v>
      </c>
    </row>
    <row r="3" spans="1:5" x14ac:dyDescent="0.2">
      <c r="B3" t="s">
        <v>88</v>
      </c>
      <c r="C3" s="1">
        <v>560</v>
      </c>
    </row>
    <row r="4" spans="1:5" x14ac:dyDescent="0.2">
      <c r="B4" t="s">
        <v>86</v>
      </c>
      <c r="C4" s="1">
        <v>780</v>
      </c>
    </row>
    <row r="5" spans="1:5" x14ac:dyDescent="0.2">
      <c r="B5" t="s">
        <v>89</v>
      </c>
      <c r="C5" s="1">
        <v>580</v>
      </c>
    </row>
    <row r="10" spans="1:5" x14ac:dyDescent="0.2">
      <c r="B10" t="s">
        <v>1</v>
      </c>
      <c r="C10" s="3">
        <f>C3</f>
        <v>560</v>
      </c>
      <c r="D10">
        <f>C5</f>
        <v>580</v>
      </c>
      <c r="E10">
        <v>1</v>
      </c>
    </row>
    <row r="11" spans="1:5" x14ac:dyDescent="0.2">
      <c r="B11" t="s">
        <v>2</v>
      </c>
      <c r="C11">
        <f>C4-18</f>
        <v>762</v>
      </c>
      <c r="D11">
        <f>C5</f>
        <v>580</v>
      </c>
      <c r="E11">
        <v>2</v>
      </c>
    </row>
    <row r="12" spans="1:5" x14ac:dyDescent="0.2">
      <c r="B12" t="s">
        <v>3</v>
      </c>
      <c r="C12">
        <f>C10-36</f>
        <v>524</v>
      </c>
      <c r="D12">
        <v>80</v>
      </c>
      <c r="E12">
        <v>2</v>
      </c>
    </row>
    <row r="13" spans="1:5" x14ac:dyDescent="0.2">
      <c r="B13" t="s">
        <v>4</v>
      </c>
      <c r="C13">
        <f>C10-36</f>
        <v>524</v>
      </c>
      <c r="D13">
        <v>60</v>
      </c>
      <c r="E13">
        <v>1</v>
      </c>
    </row>
    <row r="14" spans="1:5" x14ac:dyDescent="0.2">
      <c r="C14">
        <f>C10-36</f>
        <v>524</v>
      </c>
      <c r="D14">
        <v>40</v>
      </c>
      <c r="E14">
        <v>1</v>
      </c>
    </row>
    <row r="15" spans="1:5" x14ac:dyDescent="0.2">
      <c r="B15" t="s">
        <v>23</v>
      </c>
      <c r="C15">
        <f>C10-4</f>
        <v>556</v>
      </c>
      <c r="D15">
        <f>(C4-D16-65)/2</f>
        <v>205</v>
      </c>
      <c r="E15">
        <v>2</v>
      </c>
    </row>
    <row r="16" spans="1:5" x14ac:dyDescent="0.2">
      <c r="C16">
        <f>C10-4</f>
        <v>556</v>
      </c>
      <c r="D16">
        <v>305</v>
      </c>
      <c r="E16">
        <v>1</v>
      </c>
    </row>
    <row r="17" spans="2:5" x14ac:dyDescent="0.2">
      <c r="B17" t="s">
        <v>5</v>
      </c>
      <c r="C17">
        <v>120</v>
      </c>
      <c r="D17">
        <v>500</v>
      </c>
      <c r="E17">
        <v>4</v>
      </c>
    </row>
    <row r="18" spans="2:5" x14ac:dyDescent="0.2">
      <c r="C18">
        <v>120</v>
      </c>
      <c r="D18">
        <f>C10-99</f>
        <v>461</v>
      </c>
      <c r="E18">
        <v>4</v>
      </c>
    </row>
    <row r="19" spans="2:5" x14ac:dyDescent="0.2">
      <c r="C19">
        <v>200</v>
      </c>
      <c r="D19">
        <v>500</v>
      </c>
      <c r="E19">
        <v>2</v>
      </c>
    </row>
    <row r="20" spans="2:5" x14ac:dyDescent="0.2">
      <c r="C20">
        <v>200</v>
      </c>
      <c r="D20">
        <f>C10-99</f>
        <v>461</v>
      </c>
      <c r="E20">
        <v>2</v>
      </c>
    </row>
    <row r="21" spans="2:5" x14ac:dyDescent="0.2">
      <c r="B21" t="s">
        <v>42</v>
      </c>
      <c r="C21">
        <f>C10-20</f>
        <v>540</v>
      </c>
      <c r="D21">
        <v>100</v>
      </c>
      <c r="E21">
        <v>2</v>
      </c>
    </row>
    <row r="22" spans="2:5" x14ac:dyDescent="0.2">
      <c r="C22">
        <v>500</v>
      </c>
      <c r="D22">
        <v>100</v>
      </c>
      <c r="E22">
        <v>2</v>
      </c>
    </row>
    <row r="24" spans="2:5" x14ac:dyDescent="0.2">
      <c r="B24" t="s">
        <v>6</v>
      </c>
      <c r="C24" s="2">
        <f>C10-4</f>
        <v>556</v>
      </c>
      <c r="D24" s="2">
        <f>C4-30</f>
        <v>750</v>
      </c>
      <c r="E24" s="2">
        <v>1</v>
      </c>
    </row>
    <row r="25" spans="2:5" x14ac:dyDescent="0.2">
      <c r="B25" t="s">
        <v>7</v>
      </c>
      <c r="C25" s="2">
        <v>500</v>
      </c>
      <c r="D25" s="2">
        <f>D18+34</f>
        <v>495</v>
      </c>
      <c r="E25" s="2">
        <v>3</v>
      </c>
    </row>
    <row r="28" spans="2:5" ht="15.75" thickBot="1" x14ac:dyDescent="0.25"/>
    <row r="29" spans="2:5" ht="15.75" thickBot="1" x14ac:dyDescent="0.25">
      <c r="C29" s="18"/>
      <c r="D29" s="11"/>
    </row>
    <row r="30" spans="2:5" ht="15.75" thickBot="1" x14ac:dyDescent="0.25">
      <c r="C30" s="18"/>
      <c r="D30" s="11"/>
    </row>
    <row r="31" spans="2:5" x14ac:dyDescent="0.2">
      <c r="C31" s="18"/>
      <c r="D31" s="11"/>
    </row>
    <row r="32" spans="2:5" ht="15.75" thickBot="1" x14ac:dyDescent="0.25">
      <c r="C32" s="20"/>
      <c r="D32" s="14"/>
    </row>
  </sheetData>
  <autoFilter ref="B3:C5" xr:uid="{22BC8781-987D-274E-8F17-7A2E9256A0E6}"/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00A5-AB1D-2E4F-894F-354892079CC4}">
  <dimension ref="A1:F17"/>
  <sheetViews>
    <sheetView zoomScaleNormal="100" zoomScaleSheetLayoutView="100" workbookViewId="0">
      <selection activeCell="C4" sqref="C4"/>
    </sheetView>
  </sheetViews>
  <sheetFormatPr defaultRowHeight="15" x14ac:dyDescent="0.2"/>
  <sheetData>
    <row r="1" spans="1:6" x14ac:dyDescent="0.2">
      <c r="A1" t="s">
        <v>110</v>
      </c>
    </row>
    <row r="3" spans="1:6" x14ac:dyDescent="0.2">
      <c r="B3" t="s">
        <v>85</v>
      </c>
      <c r="C3" s="1">
        <v>230</v>
      </c>
    </row>
    <row r="4" spans="1:6" x14ac:dyDescent="0.2">
      <c r="B4" t="s">
        <v>90</v>
      </c>
      <c r="C4" s="1">
        <v>780</v>
      </c>
    </row>
    <row r="5" spans="1:6" x14ac:dyDescent="0.2">
      <c r="B5" t="s">
        <v>89</v>
      </c>
      <c r="C5" s="1">
        <v>580</v>
      </c>
    </row>
    <row r="7" spans="1:6" x14ac:dyDescent="0.2">
      <c r="C7" t="s">
        <v>1</v>
      </c>
      <c r="D7">
        <f>C3</f>
        <v>230</v>
      </c>
      <c r="E7">
        <f>C5</f>
        <v>580</v>
      </c>
      <c r="F7">
        <v>1</v>
      </c>
    </row>
    <row r="8" spans="1:6" x14ac:dyDescent="0.2">
      <c r="C8" t="s">
        <v>10</v>
      </c>
      <c r="D8">
        <f>C4-18</f>
        <v>762</v>
      </c>
      <c r="E8">
        <f>C5</f>
        <v>580</v>
      </c>
      <c r="F8">
        <v>2</v>
      </c>
    </row>
    <row r="9" spans="1:6" x14ac:dyDescent="0.2">
      <c r="C9" t="s">
        <v>3</v>
      </c>
      <c r="D9">
        <f>C3-36</f>
        <v>194</v>
      </c>
      <c r="E9">
        <v>80</v>
      </c>
      <c r="F9">
        <v>2</v>
      </c>
    </row>
    <row r="10" spans="1:6" x14ac:dyDescent="0.2">
      <c r="C10" t="s">
        <v>111</v>
      </c>
      <c r="D10">
        <f>D9</f>
        <v>194</v>
      </c>
      <c r="E10">
        <v>60</v>
      </c>
      <c r="F10">
        <v>1</v>
      </c>
    </row>
    <row r="11" spans="1:6" x14ac:dyDescent="0.2">
      <c r="D11">
        <f>D10</f>
        <v>194</v>
      </c>
      <c r="E11">
        <v>40</v>
      </c>
      <c r="F11">
        <v>1</v>
      </c>
    </row>
    <row r="12" spans="1:6" x14ac:dyDescent="0.2">
      <c r="C12" t="s">
        <v>112</v>
      </c>
      <c r="D12">
        <f>C4-30</f>
        <v>750</v>
      </c>
      <c r="E12">
        <f>C3-4</f>
        <v>226</v>
      </c>
      <c r="F12">
        <v>1</v>
      </c>
    </row>
    <row r="13" spans="1:6" x14ac:dyDescent="0.2">
      <c r="C13" t="s">
        <v>113</v>
      </c>
      <c r="D13">
        <f>D9-27</f>
        <v>167</v>
      </c>
      <c r="E13">
        <v>460</v>
      </c>
      <c r="F13">
        <v>2</v>
      </c>
    </row>
    <row r="14" spans="1:6" x14ac:dyDescent="0.2">
      <c r="C14" t="s">
        <v>114</v>
      </c>
      <c r="D14">
        <f>D13</f>
        <v>167</v>
      </c>
      <c r="E14">
        <v>600</v>
      </c>
      <c r="F14">
        <v>2</v>
      </c>
    </row>
    <row r="15" spans="1:6" x14ac:dyDescent="0.2">
      <c r="C15" t="s">
        <v>115</v>
      </c>
      <c r="D15">
        <f>E13</f>
        <v>460</v>
      </c>
      <c r="E15">
        <v>80</v>
      </c>
      <c r="F15">
        <v>4</v>
      </c>
    </row>
    <row r="17" spans="3:6" x14ac:dyDescent="0.2">
      <c r="C17" t="s">
        <v>21</v>
      </c>
      <c r="D17" s="2">
        <f>C3-4</f>
        <v>226</v>
      </c>
      <c r="E17" s="2">
        <f>C4-30</f>
        <v>750</v>
      </c>
      <c r="F17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A7AF-D083-E740-8479-363A390D62D6}">
  <dimension ref="A1:F13"/>
  <sheetViews>
    <sheetView zoomScaleNormal="100" zoomScaleSheetLayoutView="100" workbookViewId="0">
      <selection activeCell="E23" sqref="E23"/>
    </sheetView>
  </sheetViews>
  <sheetFormatPr defaultRowHeight="15" x14ac:dyDescent="0.2"/>
  <sheetData>
    <row r="1" spans="1:6" x14ac:dyDescent="0.2">
      <c r="A1" t="s">
        <v>116</v>
      </c>
      <c r="D1" t="s">
        <v>120</v>
      </c>
    </row>
    <row r="3" spans="1:6" x14ac:dyDescent="0.2">
      <c r="B3" t="s">
        <v>85</v>
      </c>
      <c r="C3" s="1">
        <v>1150</v>
      </c>
    </row>
    <row r="4" spans="1:6" x14ac:dyDescent="0.2">
      <c r="B4" t="s">
        <v>86</v>
      </c>
      <c r="C4" s="1">
        <v>890</v>
      </c>
    </row>
    <row r="5" spans="1:6" x14ac:dyDescent="0.2">
      <c r="B5" t="s">
        <v>117</v>
      </c>
      <c r="C5" s="1">
        <v>300</v>
      </c>
    </row>
    <row r="7" spans="1:6" x14ac:dyDescent="0.2">
      <c r="C7" t="s">
        <v>118</v>
      </c>
      <c r="D7">
        <f>C3</f>
        <v>1150</v>
      </c>
      <c r="E7">
        <f>C5</f>
        <v>300</v>
      </c>
      <c r="F7">
        <v>2</v>
      </c>
    </row>
    <row r="8" spans="1:6" x14ac:dyDescent="0.2">
      <c r="C8" t="s">
        <v>10</v>
      </c>
      <c r="D8">
        <f>C4-36</f>
        <v>854</v>
      </c>
      <c r="E8">
        <f>C5</f>
        <v>300</v>
      </c>
      <c r="F8">
        <v>2</v>
      </c>
    </row>
    <row r="9" spans="1:6" x14ac:dyDescent="0.2">
      <c r="C9" t="s">
        <v>119</v>
      </c>
      <c r="D9">
        <f>C3-36</f>
        <v>1114</v>
      </c>
      <c r="E9">
        <f>C5</f>
        <v>300</v>
      </c>
      <c r="F9">
        <v>1</v>
      </c>
    </row>
    <row r="10" spans="1:6" x14ac:dyDescent="0.2">
      <c r="C10" t="s">
        <v>12</v>
      </c>
      <c r="D10">
        <f>C3-36</f>
        <v>1114</v>
      </c>
      <c r="E10">
        <f>E9-20</f>
        <v>280</v>
      </c>
      <c r="F10">
        <v>2</v>
      </c>
    </row>
    <row r="11" spans="1:6" x14ac:dyDescent="0.2">
      <c r="C11" t="s">
        <v>26</v>
      </c>
      <c r="D11">
        <f>C3-4</f>
        <v>1146</v>
      </c>
      <c r="E11">
        <f>(C4-65)/2</f>
        <v>412.5</v>
      </c>
      <c r="F11">
        <v>2</v>
      </c>
    </row>
    <row r="13" spans="1:6" x14ac:dyDescent="0.2">
      <c r="C13" t="s">
        <v>6</v>
      </c>
      <c r="D13" s="2">
        <f>C3-4</f>
        <v>1146</v>
      </c>
      <c r="E13" s="2">
        <f>C4-4</f>
        <v>886</v>
      </c>
      <c r="F13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A1A6-B095-E641-8C24-D1E420DC8DF7}">
  <dimension ref="A1:E21"/>
  <sheetViews>
    <sheetView zoomScaleNormal="100" zoomScaleSheetLayoutView="100" workbookViewId="0">
      <selection activeCell="E30" sqref="E30"/>
    </sheetView>
  </sheetViews>
  <sheetFormatPr defaultRowHeight="15" x14ac:dyDescent="0.2"/>
  <sheetData>
    <row r="1" spans="1:5" x14ac:dyDescent="0.2">
      <c r="A1" s="1" t="s">
        <v>79</v>
      </c>
      <c r="B1" s="1"/>
    </row>
    <row r="3" spans="1:5" x14ac:dyDescent="0.2">
      <c r="B3" t="s">
        <v>85</v>
      </c>
      <c r="C3" s="1">
        <v>290</v>
      </c>
    </row>
    <row r="4" spans="1:5" x14ac:dyDescent="0.2">
      <c r="B4" t="s">
        <v>90</v>
      </c>
      <c r="C4" s="1">
        <v>2235</v>
      </c>
    </row>
    <row r="5" spans="1:5" x14ac:dyDescent="0.2">
      <c r="B5" t="s">
        <v>89</v>
      </c>
      <c r="C5" s="1">
        <v>560</v>
      </c>
    </row>
    <row r="6" spans="1:5" x14ac:dyDescent="0.2">
      <c r="B6" t="s">
        <v>82</v>
      </c>
      <c r="C6" s="1">
        <v>1550</v>
      </c>
    </row>
    <row r="8" spans="1:5" x14ac:dyDescent="0.2">
      <c r="B8" t="s">
        <v>28</v>
      </c>
      <c r="C8" s="3">
        <f>C3</f>
        <v>290</v>
      </c>
      <c r="D8" s="3">
        <f>C5</f>
        <v>560</v>
      </c>
      <c r="E8">
        <v>2</v>
      </c>
    </row>
    <row r="9" spans="1:5" x14ac:dyDescent="0.2">
      <c r="B9" t="s">
        <v>2</v>
      </c>
      <c r="C9" s="3">
        <f>C4-36</f>
        <v>2199</v>
      </c>
      <c r="D9" s="3">
        <f>D8</f>
        <v>560</v>
      </c>
      <c r="E9">
        <v>2</v>
      </c>
    </row>
    <row r="10" spans="1:5" x14ac:dyDescent="0.2">
      <c r="B10" t="s">
        <v>12</v>
      </c>
      <c r="C10">
        <f>C8-36</f>
        <v>254</v>
      </c>
      <c r="D10">
        <f>D8</f>
        <v>560</v>
      </c>
      <c r="E10">
        <v>2</v>
      </c>
    </row>
    <row r="11" spans="1:5" x14ac:dyDescent="0.2">
      <c r="B11" t="s">
        <v>80</v>
      </c>
      <c r="C11">
        <f>C6-27</f>
        <v>1523</v>
      </c>
      <c r="D11">
        <f>C8-4</f>
        <v>286</v>
      </c>
      <c r="E11">
        <v>1</v>
      </c>
    </row>
    <row r="12" spans="1:5" x14ac:dyDescent="0.2">
      <c r="B12" t="s">
        <v>81</v>
      </c>
      <c r="C12">
        <f>(C9+36)-C11-30</f>
        <v>682</v>
      </c>
      <c r="D12">
        <f>C8-4</f>
        <v>286</v>
      </c>
      <c r="E12">
        <v>1</v>
      </c>
    </row>
    <row r="13" spans="1:5" x14ac:dyDescent="0.2">
      <c r="B13" t="s">
        <v>39</v>
      </c>
      <c r="C13">
        <f>C8-36</f>
        <v>254</v>
      </c>
      <c r="D13">
        <v>60</v>
      </c>
      <c r="E13">
        <v>1</v>
      </c>
    </row>
    <row r="14" spans="1:5" x14ac:dyDescent="0.2">
      <c r="C14">
        <f>C8-36</f>
        <v>254</v>
      </c>
      <c r="D14">
        <v>40</v>
      </c>
      <c r="E14">
        <v>1</v>
      </c>
    </row>
    <row r="17" spans="2:5" x14ac:dyDescent="0.2">
      <c r="B17" s="2" t="s">
        <v>21</v>
      </c>
      <c r="C17" s="2">
        <f>C9+34</f>
        <v>2233</v>
      </c>
      <c r="D17" s="2">
        <f>C8-4</f>
        <v>286</v>
      </c>
      <c r="E17" s="2">
        <v>1</v>
      </c>
    </row>
    <row r="19" spans="2:5" x14ac:dyDescent="0.2">
      <c r="B19" s="2" t="s">
        <v>6</v>
      </c>
    </row>
    <row r="20" spans="2:5" x14ac:dyDescent="0.2">
      <c r="B20" s="2" t="s">
        <v>83</v>
      </c>
      <c r="C20" s="2">
        <f>C6+27</f>
        <v>1577</v>
      </c>
      <c r="D20" s="2">
        <f>C8-4</f>
        <v>286</v>
      </c>
      <c r="E20" s="2">
        <v>1</v>
      </c>
    </row>
    <row r="21" spans="2:5" x14ac:dyDescent="0.2">
      <c r="B21" s="2"/>
      <c r="C21" s="2">
        <f>(C9+36)-C20</f>
        <v>658</v>
      </c>
      <c r="D21" s="2">
        <f>C8-4</f>
        <v>286</v>
      </c>
      <c r="E21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B5C2-B214-DB4F-92D8-2389C408DE8F}">
  <dimension ref="A1:F13"/>
  <sheetViews>
    <sheetView zoomScaleNormal="100" zoomScaleSheetLayoutView="100" workbookViewId="0">
      <selection activeCell="D8" sqref="D8"/>
    </sheetView>
  </sheetViews>
  <sheetFormatPr defaultRowHeight="15" x14ac:dyDescent="0.2"/>
  <sheetData>
    <row r="1" spans="1:6" x14ac:dyDescent="0.2">
      <c r="A1" s="1" t="s">
        <v>99</v>
      </c>
      <c r="B1" s="1"/>
    </row>
    <row r="3" spans="1:6" x14ac:dyDescent="0.2">
      <c r="B3" s="1" t="s">
        <v>85</v>
      </c>
      <c r="C3" s="1">
        <v>550</v>
      </c>
    </row>
    <row r="4" spans="1:6" x14ac:dyDescent="0.2">
      <c r="B4" s="1" t="s">
        <v>86</v>
      </c>
      <c r="C4" s="1">
        <v>370</v>
      </c>
    </row>
    <row r="5" spans="1:6" x14ac:dyDescent="0.2">
      <c r="B5" s="1" t="s">
        <v>89</v>
      </c>
      <c r="C5" s="1">
        <v>330</v>
      </c>
    </row>
    <row r="7" spans="1:6" x14ac:dyDescent="0.2">
      <c r="C7" t="s">
        <v>100</v>
      </c>
      <c r="D7">
        <f>C3</f>
        <v>550</v>
      </c>
      <c r="E7">
        <f>C5</f>
        <v>330</v>
      </c>
      <c r="F7">
        <v>1</v>
      </c>
    </row>
    <row r="8" spans="1:6" x14ac:dyDescent="0.2">
      <c r="C8" t="s">
        <v>37</v>
      </c>
      <c r="D8">
        <f>C3</f>
        <v>550</v>
      </c>
      <c r="E8">
        <f>C5</f>
        <v>330</v>
      </c>
      <c r="F8">
        <v>1</v>
      </c>
    </row>
    <row r="9" spans="1:6" x14ac:dyDescent="0.2">
      <c r="C9" t="s">
        <v>38</v>
      </c>
      <c r="D9">
        <f>C4-36</f>
        <v>334</v>
      </c>
      <c r="E9">
        <f>C5</f>
        <v>330</v>
      </c>
      <c r="F9">
        <v>2</v>
      </c>
    </row>
    <row r="10" spans="1:6" x14ac:dyDescent="0.2">
      <c r="C10" t="s">
        <v>11</v>
      </c>
      <c r="D10">
        <f>C3-44</f>
        <v>506</v>
      </c>
      <c r="E10">
        <f>D9/2</f>
        <v>167</v>
      </c>
      <c r="F10">
        <v>1</v>
      </c>
    </row>
    <row r="11" spans="1:6" x14ac:dyDescent="0.2">
      <c r="C11" t="s">
        <v>60</v>
      </c>
      <c r="D11">
        <f>C3-97</f>
        <v>453</v>
      </c>
      <c r="E11">
        <v>100</v>
      </c>
      <c r="F11">
        <v>2</v>
      </c>
    </row>
    <row r="12" spans="1:6" x14ac:dyDescent="0.2">
      <c r="D12">
        <v>350</v>
      </c>
      <c r="E12">
        <v>100</v>
      </c>
      <c r="F12">
        <v>2</v>
      </c>
    </row>
    <row r="13" spans="1:6" x14ac:dyDescent="0.2">
      <c r="C13" s="2" t="s">
        <v>7</v>
      </c>
      <c r="D13" s="2">
        <f>D11+35</f>
        <v>488</v>
      </c>
      <c r="E13" s="2">
        <f>D12</f>
        <v>350</v>
      </c>
      <c r="F13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E13A-D03F-3C46-B49A-C21720A08D48}">
  <dimension ref="A1:F18"/>
  <sheetViews>
    <sheetView zoomScaleNormal="100" zoomScaleSheetLayoutView="100" workbookViewId="0">
      <selection activeCell="C4" sqref="C4"/>
    </sheetView>
  </sheetViews>
  <sheetFormatPr defaultRowHeight="15" x14ac:dyDescent="0.2"/>
  <sheetData>
    <row r="1" spans="1:6" x14ac:dyDescent="0.2">
      <c r="A1" s="1" t="s">
        <v>101</v>
      </c>
      <c r="B1" s="1"/>
    </row>
    <row r="3" spans="1:6" x14ac:dyDescent="0.2">
      <c r="B3" s="1" t="s">
        <v>88</v>
      </c>
      <c r="C3" s="1">
        <v>500</v>
      </c>
    </row>
    <row r="4" spans="1:6" x14ac:dyDescent="0.2">
      <c r="B4" s="1" t="s">
        <v>86</v>
      </c>
      <c r="C4" s="1">
        <v>610</v>
      </c>
    </row>
    <row r="5" spans="1:6" x14ac:dyDescent="0.2">
      <c r="B5" s="1" t="s">
        <v>89</v>
      </c>
      <c r="C5" s="1">
        <v>400</v>
      </c>
    </row>
    <row r="7" spans="1:6" x14ac:dyDescent="0.2">
      <c r="C7" t="s">
        <v>100</v>
      </c>
      <c r="D7">
        <f>C3</f>
        <v>500</v>
      </c>
      <c r="E7">
        <f>C5</f>
        <v>400</v>
      </c>
      <c r="F7">
        <v>1</v>
      </c>
    </row>
    <row r="8" spans="1:6" x14ac:dyDescent="0.2">
      <c r="C8" t="s">
        <v>37</v>
      </c>
      <c r="D8">
        <f>C3-36</f>
        <v>464</v>
      </c>
      <c r="E8">
        <f>C5-20</f>
        <v>380</v>
      </c>
      <c r="F8">
        <v>1</v>
      </c>
    </row>
    <row r="9" spans="1:6" x14ac:dyDescent="0.2">
      <c r="C9" t="s">
        <v>10</v>
      </c>
      <c r="D9">
        <f>C4-18</f>
        <v>592</v>
      </c>
      <c r="E9">
        <f>E8</f>
        <v>380</v>
      </c>
      <c r="F9">
        <v>2</v>
      </c>
    </row>
    <row r="10" spans="1:6" x14ac:dyDescent="0.2">
      <c r="C10" t="s">
        <v>12</v>
      </c>
      <c r="D10">
        <f>D8</f>
        <v>464</v>
      </c>
      <c r="E10">
        <f>E8-20</f>
        <v>360</v>
      </c>
      <c r="F10">
        <v>1</v>
      </c>
    </row>
    <row r="11" spans="1:6" x14ac:dyDescent="0.2">
      <c r="C11" t="s">
        <v>62</v>
      </c>
      <c r="D11">
        <f>C3-2</f>
        <v>498</v>
      </c>
      <c r="E11">
        <v>170</v>
      </c>
      <c r="F11">
        <v>1</v>
      </c>
    </row>
    <row r="12" spans="1:6" x14ac:dyDescent="0.2">
      <c r="C12" t="s">
        <v>26</v>
      </c>
      <c r="D12">
        <f>D11</f>
        <v>498</v>
      </c>
      <c r="E12">
        <f>D9-E15-E11-8</f>
        <v>334</v>
      </c>
      <c r="F12">
        <v>1</v>
      </c>
    </row>
    <row r="13" spans="1:6" x14ac:dyDescent="0.2">
      <c r="C13" t="s">
        <v>34</v>
      </c>
      <c r="D13">
        <f>D8-61</f>
        <v>403</v>
      </c>
      <c r="E13">
        <v>120</v>
      </c>
      <c r="F13">
        <v>2</v>
      </c>
    </row>
    <row r="14" spans="1:6" x14ac:dyDescent="0.2">
      <c r="D14">
        <f>C5-50</f>
        <v>350</v>
      </c>
      <c r="E14">
        <v>120</v>
      </c>
      <c r="F14">
        <v>2</v>
      </c>
    </row>
    <row r="15" spans="1:6" x14ac:dyDescent="0.2">
      <c r="C15" t="s">
        <v>43</v>
      </c>
      <c r="D15">
        <f>D8</f>
        <v>464</v>
      </c>
      <c r="E15">
        <v>80</v>
      </c>
      <c r="F15">
        <v>2</v>
      </c>
    </row>
    <row r="17" spans="3:6" x14ac:dyDescent="0.2">
      <c r="C17" s="2" t="s">
        <v>6</v>
      </c>
      <c r="D17" s="2">
        <f>C3-3</f>
        <v>497</v>
      </c>
      <c r="E17" s="2">
        <f>C4-3</f>
        <v>607</v>
      </c>
      <c r="F17" s="2">
        <v>1</v>
      </c>
    </row>
    <row r="18" spans="3:6" x14ac:dyDescent="0.2">
      <c r="C18" s="2" t="s">
        <v>7</v>
      </c>
      <c r="D18" s="2">
        <f>D13+35</f>
        <v>438</v>
      </c>
      <c r="E18" s="2">
        <f>D14</f>
        <v>350</v>
      </c>
      <c r="F18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FFCF-FE1A-0C4A-B64E-1B5A12C84836}">
  <dimension ref="A1:E20"/>
  <sheetViews>
    <sheetView zoomScaleNormal="100" zoomScaleSheetLayoutView="100" workbookViewId="0">
      <selection activeCell="C4" sqref="C4"/>
    </sheetView>
  </sheetViews>
  <sheetFormatPr defaultRowHeight="15" x14ac:dyDescent="0.2"/>
  <sheetData>
    <row r="1" spans="1:5" x14ac:dyDescent="0.2">
      <c r="A1" s="1" t="s">
        <v>65</v>
      </c>
      <c r="B1" s="1" t="s">
        <v>66</v>
      </c>
    </row>
    <row r="3" spans="1:5" x14ac:dyDescent="0.2">
      <c r="B3" t="s">
        <v>88</v>
      </c>
      <c r="C3" s="1">
        <v>1140</v>
      </c>
    </row>
    <row r="4" spans="1:5" x14ac:dyDescent="0.2">
      <c r="B4" t="s">
        <v>86</v>
      </c>
      <c r="C4" s="1">
        <v>780</v>
      </c>
    </row>
    <row r="5" spans="1:5" x14ac:dyDescent="0.2">
      <c r="B5" t="s">
        <v>89</v>
      </c>
      <c r="C5" s="1">
        <v>580</v>
      </c>
    </row>
    <row r="8" spans="1:5" x14ac:dyDescent="0.2">
      <c r="B8" t="s">
        <v>37</v>
      </c>
      <c r="C8" s="3">
        <f>C3</f>
        <v>1140</v>
      </c>
      <c r="D8">
        <f>C5</f>
        <v>580</v>
      </c>
      <c r="E8">
        <v>1</v>
      </c>
    </row>
    <row r="9" spans="1:5" x14ac:dyDescent="0.2">
      <c r="B9" t="s">
        <v>10</v>
      </c>
      <c r="C9">
        <f>C4-18</f>
        <v>762</v>
      </c>
      <c r="D9">
        <f>C5</f>
        <v>580</v>
      </c>
      <c r="E9">
        <v>2</v>
      </c>
    </row>
    <row r="10" spans="1:5" x14ac:dyDescent="0.2">
      <c r="B10" t="s">
        <v>14</v>
      </c>
      <c r="C10">
        <f>C8-36</f>
        <v>1104</v>
      </c>
      <c r="D10">
        <v>80</v>
      </c>
      <c r="E10">
        <v>2</v>
      </c>
    </row>
    <row r="11" spans="1:5" x14ac:dyDescent="0.2">
      <c r="B11" t="s">
        <v>12</v>
      </c>
      <c r="C11">
        <f>C8-36</f>
        <v>1104</v>
      </c>
      <c r="D11">
        <f>C5-30</f>
        <v>550</v>
      </c>
      <c r="E11">
        <v>1</v>
      </c>
    </row>
    <row r="12" spans="1:5" x14ac:dyDescent="0.2">
      <c r="B12" t="s">
        <v>39</v>
      </c>
      <c r="C12">
        <f>C8-36</f>
        <v>1104</v>
      </c>
      <c r="D12">
        <v>60</v>
      </c>
      <c r="E12">
        <v>1</v>
      </c>
    </row>
    <row r="13" spans="1:5" x14ac:dyDescent="0.2">
      <c r="C13">
        <f>C8-36</f>
        <v>1104</v>
      </c>
      <c r="D13">
        <v>40</v>
      </c>
      <c r="E13">
        <v>1</v>
      </c>
    </row>
    <row r="14" spans="1:5" x14ac:dyDescent="0.2">
      <c r="B14" t="s">
        <v>67</v>
      </c>
      <c r="C14">
        <f>D9+40</f>
        <v>620</v>
      </c>
      <c r="D14">
        <f>C9+18</f>
        <v>780</v>
      </c>
      <c r="E14">
        <v>1</v>
      </c>
    </row>
    <row r="15" spans="1:5" x14ac:dyDescent="0.2">
      <c r="B15" t="s">
        <v>48</v>
      </c>
      <c r="C15">
        <f>C8-C14-6</f>
        <v>514</v>
      </c>
      <c r="D15">
        <f>C4-30</f>
        <v>750</v>
      </c>
      <c r="E15">
        <v>1</v>
      </c>
    </row>
    <row r="16" spans="1:5" x14ac:dyDescent="0.2">
      <c r="B16" t="s">
        <v>46</v>
      </c>
      <c r="C16">
        <f>C9</f>
        <v>762</v>
      </c>
      <c r="D16">
        <v>70</v>
      </c>
      <c r="E16">
        <v>2</v>
      </c>
    </row>
    <row r="17" spans="2:5" x14ac:dyDescent="0.2">
      <c r="B17" t="s">
        <v>53</v>
      </c>
      <c r="C17">
        <f>C8-20</f>
        <v>1120</v>
      </c>
      <c r="D17">
        <v>100</v>
      </c>
      <c r="E17">
        <v>2</v>
      </c>
    </row>
    <row r="18" spans="2:5" x14ac:dyDescent="0.2">
      <c r="C18">
        <v>500</v>
      </c>
      <c r="D18">
        <v>100</v>
      </c>
      <c r="E18">
        <v>3</v>
      </c>
    </row>
    <row r="20" spans="2:5" x14ac:dyDescent="0.2">
      <c r="B20" s="2" t="s">
        <v>21</v>
      </c>
      <c r="C20" s="2">
        <f>C8-4</f>
        <v>1136</v>
      </c>
      <c r="D20" s="2">
        <f>C9-20</f>
        <v>742</v>
      </c>
      <c r="E20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C2B6-C7B7-FF42-A573-0869B0258007}">
  <dimension ref="A1:E33"/>
  <sheetViews>
    <sheetView zoomScaleNormal="100" zoomScaleSheetLayoutView="100" workbookViewId="0">
      <selection activeCell="F5" sqref="F5"/>
    </sheetView>
  </sheetViews>
  <sheetFormatPr defaultRowHeight="15" x14ac:dyDescent="0.2"/>
  <cols>
    <col min="5" max="5" width="12.23828125" bestFit="1" customWidth="1"/>
  </cols>
  <sheetData>
    <row r="1" spans="1:5" x14ac:dyDescent="0.2">
      <c r="A1" s="1" t="s">
        <v>77</v>
      </c>
      <c r="B1" s="1"/>
    </row>
    <row r="3" spans="1:5" x14ac:dyDescent="0.2">
      <c r="B3" t="s">
        <v>85</v>
      </c>
      <c r="C3" s="1">
        <v>1459</v>
      </c>
    </row>
    <row r="4" spans="1:5" x14ac:dyDescent="0.2">
      <c r="B4" t="s">
        <v>86</v>
      </c>
      <c r="C4" s="1">
        <v>780</v>
      </c>
    </row>
    <row r="5" spans="1:5" x14ac:dyDescent="0.2">
      <c r="B5" t="s">
        <v>89</v>
      </c>
      <c r="C5" s="1">
        <v>580</v>
      </c>
    </row>
    <row r="8" spans="1:5" x14ac:dyDescent="0.2">
      <c r="B8" t="s">
        <v>37</v>
      </c>
      <c r="C8" s="3">
        <f>C3</f>
        <v>1459</v>
      </c>
      <c r="D8">
        <f>C5</f>
        <v>580</v>
      </c>
      <c r="E8">
        <v>1</v>
      </c>
    </row>
    <row r="9" spans="1:5" x14ac:dyDescent="0.2">
      <c r="B9" t="s">
        <v>2</v>
      </c>
      <c r="C9">
        <f>C4-18</f>
        <v>762</v>
      </c>
      <c r="D9">
        <f>D8</f>
        <v>580</v>
      </c>
      <c r="E9">
        <v>3</v>
      </c>
    </row>
    <row r="10" spans="1:5" x14ac:dyDescent="0.2">
      <c r="B10" t="s">
        <v>14</v>
      </c>
      <c r="C10">
        <f>C8-36</f>
        <v>1423</v>
      </c>
      <c r="D10">
        <v>80</v>
      </c>
      <c r="E10">
        <v>2</v>
      </c>
    </row>
    <row r="11" spans="1:5" x14ac:dyDescent="0.2">
      <c r="B11" t="s">
        <v>39</v>
      </c>
      <c r="C11">
        <f>C8-36</f>
        <v>1423</v>
      </c>
      <c r="D11">
        <v>60</v>
      </c>
      <c r="E11">
        <v>1</v>
      </c>
    </row>
    <row r="12" spans="1:5" x14ac:dyDescent="0.2">
      <c r="C12">
        <f>C8-36</f>
        <v>1423</v>
      </c>
      <c r="D12">
        <v>40</v>
      </c>
      <c r="E12">
        <v>1</v>
      </c>
    </row>
    <row r="13" spans="1:5" x14ac:dyDescent="0.2">
      <c r="B13" t="s">
        <v>11</v>
      </c>
      <c r="C13">
        <f>C8/2-4</f>
        <v>725.5</v>
      </c>
      <c r="D13">
        <f>C4/2-30</f>
        <v>360</v>
      </c>
      <c r="E13">
        <v>4</v>
      </c>
    </row>
    <row r="14" spans="1:5" x14ac:dyDescent="0.2">
      <c r="B14" t="s">
        <v>60</v>
      </c>
      <c r="C14">
        <v>200</v>
      </c>
      <c r="D14">
        <v>500</v>
      </c>
      <c r="E14">
        <v>8</v>
      </c>
    </row>
    <row r="15" spans="1:5" x14ac:dyDescent="0.2">
      <c r="C15">
        <v>200</v>
      </c>
      <c r="D15">
        <f>C8/2-90</f>
        <v>639.5</v>
      </c>
      <c r="E15">
        <v>8</v>
      </c>
    </row>
    <row r="16" spans="1:5" x14ac:dyDescent="0.2">
      <c r="B16" t="s">
        <v>43</v>
      </c>
      <c r="C16">
        <f>C8-20</f>
        <v>1439</v>
      </c>
      <c r="D16">
        <v>100</v>
      </c>
      <c r="E16">
        <v>2</v>
      </c>
    </row>
    <row r="17" spans="2:5" x14ac:dyDescent="0.2">
      <c r="C17">
        <v>500</v>
      </c>
      <c r="D17">
        <v>100</v>
      </c>
      <c r="E17">
        <v>3</v>
      </c>
    </row>
    <row r="18" spans="2:5" x14ac:dyDescent="0.2">
      <c r="B18" s="2" t="s">
        <v>7</v>
      </c>
      <c r="C18" s="2">
        <f>D15+34</f>
        <v>673.5</v>
      </c>
      <c r="D18" s="2">
        <f>D14-2</f>
        <v>498</v>
      </c>
      <c r="E18" s="2">
        <v>4</v>
      </c>
    </row>
    <row r="19" spans="2:5" x14ac:dyDescent="0.2">
      <c r="B19" s="2" t="s">
        <v>6</v>
      </c>
      <c r="C19" s="2">
        <f>C8-2</f>
        <v>1457</v>
      </c>
      <c r="D19" s="2">
        <f>C4-30</f>
        <v>750</v>
      </c>
      <c r="E19" s="2">
        <v>1</v>
      </c>
    </row>
    <row r="21" spans="2:5" x14ac:dyDescent="0.2">
      <c r="B21" t="s">
        <v>78</v>
      </c>
    </row>
    <row r="25" spans="2:5" x14ac:dyDescent="0.2">
      <c r="B25" s="5"/>
      <c r="C25" s="5"/>
    </row>
    <row r="26" spans="2:5" x14ac:dyDescent="0.2">
      <c r="C26" s="5"/>
    </row>
    <row r="27" spans="2:5" x14ac:dyDescent="0.2">
      <c r="C27" s="5"/>
    </row>
    <row r="28" spans="2:5" x14ac:dyDescent="0.2">
      <c r="C28" s="5"/>
    </row>
    <row r="29" spans="2:5" x14ac:dyDescent="0.2">
      <c r="C29" s="5"/>
    </row>
    <row r="30" spans="2:5" x14ac:dyDescent="0.2">
      <c r="C30" s="5"/>
    </row>
    <row r="31" spans="2:5" x14ac:dyDescent="0.2">
      <c r="C31" s="5"/>
    </row>
    <row r="33" spans="1:1" x14ac:dyDescent="0.2">
      <c r="A33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D3ED-C5BC-E043-BDAC-651B3C2DFE6F}">
  <dimension ref="A1:E14"/>
  <sheetViews>
    <sheetView zoomScaleNormal="100" zoomScaleSheetLayoutView="100" workbookViewId="0">
      <selection activeCell="C3" sqref="C3"/>
    </sheetView>
  </sheetViews>
  <sheetFormatPr defaultRowHeight="15" x14ac:dyDescent="0.2"/>
  <sheetData>
    <row r="1" spans="1:5" x14ac:dyDescent="0.2">
      <c r="A1" s="1" t="s">
        <v>84</v>
      </c>
      <c r="B1" s="1"/>
      <c r="C1" s="1"/>
    </row>
    <row r="3" spans="1:5" x14ac:dyDescent="0.2">
      <c r="B3" t="s">
        <v>88</v>
      </c>
      <c r="C3" s="1">
        <v>700</v>
      </c>
    </row>
    <row r="4" spans="1:5" x14ac:dyDescent="0.2">
      <c r="B4" t="s">
        <v>86</v>
      </c>
      <c r="C4" s="1">
        <v>446</v>
      </c>
    </row>
    <row r="5" spans="1:5" x14ac:dyDescent="0.2">
      <c r="B5" t="s">
        <v>89</v>
      </c>
      <c r="C5" s="1">
        <v>580</v>
      </c>
    </row>
    <row r="8" spans="1:5" x14ac:dyDescent="0.2">
      <c r="B8" t="s">
        <v>28</v>
      </c>
      <c r="C8" s="3">
        <f>C3</f>
        <v>700</v>
      </c>
      <c r="D8" s="3">
        <f>C5</f>
        <v>580</v>
      </c>
      <c r="E8">
        <v>2</v>
      </c>
    </row>
    <row r="9" spans="1:5" x14ac:dyDescent="0.2">
      <c r="B9" t="s">
        <v>2</v>
      </c>
      <c r="C9" s="3">
        <f>C4-36</f>
        <v>410</v>
      </c>
      <c r="D9" s="3">
        <f>D8</f>
        <v>580</v>
      </c>
      <c r="E9">
        <v>2</v>
      </c>
    </row>
    <row r="10" spans="1:5" x14ac:dyDescent="0.2">
      <c r="B10" t="s">
        <v>26</v>
      </c>
      <c r="C10">
        <f>C9+34</f>
        <v>444</v>
      </c>
      <c r="D10">
        <f>C8/2-4</f>
        <v>346</v>
      </c>
      <c r="E10">
        <v>2</v>
      </c>
    </row>
    <row r="11" spans="1:5" x14ac:dyDescent="0.2">
      <c r="B11" t="s">
        <v>12</v>
      </c>
      <c r="C11">
        <f>C8-36</f>
        <v>664</v>
      </c>
      <c r="D11">
        <f>D8-30</f>
        <v>550</v>
      </c>
      <c r="E11">
        <v>1</v>
      </c>
    </row>
    <row r="14" spans="1:5" x14ac:dyDescent="0.2">
      <c r="B14" s="2" t="s">
        <v>21</v>
      </c>
      <c r="C14" s="2">
        <f>C8-4</f>
        <v>696</v>
      </c>
      <c r="D14" s="2">
        <f>C9+34</f>
        <v>444</v>
      </c>
      <c r="E14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33DE-CBB9-FC42-A602-FC61F3BBE786}">
  <dimension ref="A1:F12"/>
  <sheetViews>
    <sheetView zoomScaleNormal="100" zoomScaleSheetLayoutView="100" workbookViewId="0">
      <selection activeCell="F27" sqref="F27"/>
    </sheetView>
  </sheetViews>
  <sheetFormatPr defaultRowHeight="15" x14ac:dyDescent="0.2"/>
  <sheetData>
    <row r="1" spans="1:6" x14ac:dyDescent="0.2">
      <c r="A1" s="1" t="s">
        <v>133</v>
      </c>
      <c r="B1" s="1"/>
      <c r="C1" s="1"/>
    </row>
    <row r="4" spans="1:6" x14ac:dyDescent="0.2">
      <c r="B4" t="s">
        <v>85</v>
      </c>
      <c r="C4" s="1">
        <v>1250</v>
      </c>
    </row>
    <row r="5" spans="1:6" x14ac:dyDescent="0.2">
      <c r="B5" t="s">
        <v>86</v>
      </c>
      <c r="C5" s="1">
        <v>960</v>
      </c>
    </row>
    <row r="6" spans="1:6" x14ac:dyDescent="0.2">
      <c r="B6" t="s">
        <v>89</v>
      </c>
      <c r="C6" s="1">
        <v>330</v>
      </c>
    </row>
    <row r="7" spans="1:6" x14ac:dyDescent="0.2">
      <c r="C7" t="s">
        <v>28</v>
      </c>
      <c r="D7">
        <f>C4</f>
        <v>1250</v>
      </c>
      <c r="E7">
        <f>C6</f>
        <v>330</v>
      </c>
      <c r="F7">
        <v>2</v>
      </c>
    </row>
    <row r="8" spans="1:6" x14ac:dyDescent="0.2">
      <c r="C8" t="s">
        <v>2</v>
      </c>
      <c r="D8">
        <f>C5-36</f>
        <v>924</v>
      </c>
      <c r="E8">
        <f>C6</f>
        <v>330</v>
      </c>
      <c r="F8">
        <v>3</v>
      </c>
    </row>
    <row r="9" spans="1:6" x14ac:dyDescent="0.2">
      <c r="C9" t="s">
        <v>134</v>
      </c>
      <c r="D9">
        <f>(C4-54)/2</f>
        <v>598</v>
      </c>
      <c r="E9">
        <f>C6</f>
        <v>330</v>
      </c>
      <c r="F9">
        <v>2</v>
      </c>
    </row>
    <row r="10" spans="1:6" x14ac:dyDescent="0.2">
      <c r="C10" t="s">
        <v>13</v>
      </c>
      <c r="D10">
        <f>(C4/2)-4</f>
        <v>621</v>
      </c>
      <c r="E10">
        <f>(C5/2)-6</f>
        <v>474</v>
      </c>
      <c r="F10">
        <v>4</v>
      </c>
    </row>
    <row r="11" spans="1:6" x14ac:dyDescent="0.2">
      <c r="C11" t="s">
        <v>135</v>
      </c>
      <c r="D11">
        <f>D9</f>
        <v>598</v>
      </c>
      <c r="E11">
        <f>E9-30</f>
        <v>300</v>
      </c>
      <c r="F11">
        <v>4</v>
      </c>
    </row>
    <row r="12" spans="1:6" x14ac:dyDescent="0.2">
      <c r="C12" t="s">
        <v>21</v>
      </c>
      <c r="D12" s="2">
        <f>C4-2</f>
        <v>1248</v>
      </c>
      <c r="E12" s="2">
        <f>C5-2</f>
        <v>958</v>
      </c>
      <c r="F12" s="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1C47-428E-EF4A-8F8E-249D933308CF}">
  <dimension ref="A1:F15"/>
  <sheetViews>
    <sheetView zoomScaleNormal="100" zoomScaleSheetLayoutView="100" workbookViewId="0">
      <selection activeCell="E27" sqref="E27"/>
    </sheetView>
  </sheetViews>
  <sheetFormatPr defaultRowHeight="15" x14ac:dyDescent="0.2"/>
  <sheetData>
    <row r="1" spans="1:6" x14ac:dyDescent="0.2">
      <c r="A1" s="1" t="s">
        <v>136</v>
      </c>
      <c r="B1" s="1"/>
    </row>
    <row r="3" spans="1:6" x14ac:dyDescent="0.2">
      <c r="B3" t="s">
        <v>85</v>
      </c>
      <c r="C3" s="1">
        <v>1113</v>
      </c>
    </row>
    <row r="4" spans="1:6" x14ac:dyDescent="0.2">
      <c r="B4" t="s">
        <v>86</v>
      </c>
      <c r="C4" s="1">
        <v>820</v>
      </c>
    </row>
    <row r="5" spans="1:6" x14ac:dyDescent="0.2">
      <c r="B5" t="s">
        <v>137</v>
      </c>
      <c r="C5" s="1">
        <v>580</v>
      </c>
    </row>
    <row r="6" spans="1:6" x14ac:dyDescent="0.2">
      <c r="A6" t="s">
        <v>138</v>
      </c>
      <c r="C6" s="1">
        <v>620</v>
      </c>
    </row>
    <row r="8" spans="1:6" x14ac:dyDescent="0.2">
      <c r="C8" t="s">
        <v>28</v>
      </c>
      <c r="D8">
        <f>C3</f>
        <v>1113</v>
      </c>
      <c r="E8">
        <f>C5</f>
        <v>580</v>
      </c>
      <c r="F8">
        <v>2</v>
      </c>
    </row>
    <row r="9" spans="1:6" x14ac:dyDescent="0.2">
      <c r="C9" t="s">
        <v>2</v>
      </c>
      <c r="D9">
        <f>C4-36</f>
        <v>784</v>
      </c>
      <c r="E9">
        <f>C5</f>
        <v>580</v>
      </c>
      <c r="F9">
        <v>2</v>
      </c>
    </row>
    <row r="10" spans="1:6" x14ac:dyDescent="0.2">
      <c r="C10" t="s">
        <v>12</v>
      </c>
      <c r="D10">
        <f>C3-36</f>
        <v>1077</v>
      </c>
      <c r="E10">
        <f>C5-30</f>
        <v>550</v>
      </c>
      <c r="F10">
        <v>1</v>
      </c>
    </row>
    <row r="11" spans="1:6" x14ac:dyDescent="0.2">
      <c r="C11" t="s">
        <v>139</v>
      </c>
      <c r="D11">
        <f>C6</f>
        <v>620</v>
      </c>
      <c r="E11">
        <f>C4</f>
        <v>820</v>
      </c>
      <c r="F11">
        <v>1</v>
      </c>
    </row>
    <row r="12" spans="1:6" x14ac:dyDescent="0.2">
      <c r="C12" t="s">
        <v>48</v>
      </c>
      <c r="D12">
        <f>C3-C6-6</f>
        <v>487</v>
      </c>
      <c r="E12">
        <f>C4+15</f>
        <v>835</v>
      </c>
      <c r="F12">
        <v>1</v>
      </c>
    </row>
    <row r="13" spans="1:6" x14ac:dyDescent="0.2">
      <c r="C13" t="s">
        <v>46</v>
      </c>
      <c r="D13">
        <f>C4-36</f>
        <v>784</v>
      </c>
      <c r="E13">
        <v>70</v>
      </c>
      <c r="F13">
        <v>1</v>
      </c>
    </row>
    <row r="15" spans="1:6" x14ac:dyDescent="0.2">
      <c r="C15" t="s">
        <v>21</v>
      </c>
      <c r="D15" s="2">
        <f>C3-2</f>
        <v>1111</v>
      </c>
      <c r="E15" s="2">
        <f>C4-2</f>
        <v>818</v>
      </c>
      <c r="F1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CBDE-D22E-D242-BB7A-4D995D2C5F61}">
  <dimension ref="A1:E14"/>
  <sheetViews>
    <sheetView zoomScaleNormal="100" zoomScaleSheetLayoutView="100" workbookViewId="0">
      <selection activeCell="F26" sqref="F26"/>
    </sheetView>
  </sheetViews>
  <sheetFormatPr defaultRowHeight="15" x14ac:dyDescent="0.2"/>
  <sheetData>
    <row r="1" spans="1:5" x14ac:dyDescent="0.2">
      <c r="A1" s="1" t="s">
        <v>140</v>
      </c>
      <c r="B1" s="1"/>
      <c r="C1" s="1"/>
    </row>
    <row r="3" spans="1:5" x14ac:dyDescent="0.2">
      <c r="B3" t="s">
        <v>88</v>
      </c>
      <c r="C3" s="1">
        <v>564</v>
      </c>
    </row>
    <row r="4" spans="1:5" x14ac:dyDescent="0.2">
      <c r="B4" t="s">
        <v>86</v>
      </c>
      <c r="C4" s="1">
        <v>1000</v>
      </c>
    </row>
    <row r="5" spans="1:5" x14ac:dyDescent="0.2">
      <c r="B5" t="s">
        <v>87</v>
      </c>
      <c r="C5" s="1">
        <v>330</v>
      </c>
    </row>
    <row r="9" spans="1:5" x14ac:dyDescent="0.2">
      <c r="B9" t="s">
        <v>28</v>
      </c>
      <c r="C9" s="3">
        <f>C3</f>
        <v>564</v>
      </c>
      <c r="D9" s="3">
        <f>C5</f>
        <v>330</v>
      </c>
      <c r="E9">
        <v>2</v>
      </c>
    </row>
    <row r="10" spans="1:5" x14ac:dyDescent="0.2">
      <c r="B10" t="s">
        <v>10</v>
      </c>
      <c r="C10" s="3">
        <f>C4-36</f>
        <v>964</v>
      </c>
      <c r="D10" s="3">
        <f>D9</f>
        <v>330</v>
      </c>
      <c r="E10">
        <v>2</v>
      </c>
    </row>
    <row r="11" spans="1:5" x14ac:dyDescent="0.2">
      <c r="B11" t="s">
        <v>12</v>
      </c>
      <c r="C11">
        <f>C9-36</f>
        <v>528</v>
      </c>
      <c r="D11">
        <f>D9-30</f>
        <v>300</v>
      </c>
      <c r="E11">
        <v>1</v>
      </c>
    </row>
    <row r="12" spans="1:5" x14ac:dyDescent="0.2">
      <c r="B12" t="s">
        <v>26</v>
      </c>
      <c r="C12">
        <f>C9-4</f>
        <v>560</v>
      </c>
      <c r="D12">
        <f>C10+51</f>
        <v>1015</v>
      </c>
      <c r="E12">
        <v>1</v>
      </c>
    </row>
    <row r="14" spans="1:5" x14ac:dyDescent="0.2">
      <c r="B14" s="2" t="s">
        <v>21</v>
      </c>
      <c r="C14" s="2">
        <f>C9-4</f>
        <v>560</v>
      </c>
      <c r="D14" s="2">
        <f>C10+33</f>
        <v>997</v>
      </c>
      <c r="E14" s="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A211-CE45-FF4C-851E-FBD7C7EB526A}">
  <dimension ref="A1:F28"/>
  <sheetViews>
    <sheetView topLeftCell="A3" zoomScaleNormal="100" zoomScaleSheetLayoutView="100" workbookViewId="0">
      <selection activeCell="A16" sqref="A16"/>
    </sheetView>
  </sheetViews>
  <sheetFormatPr defaultRowHeight="15" x14ac:dyDescent="0.2"/>
  <sheetData>
    <row r="1" spans="1:6" x14ac:dyDescent="0.2">
      <c r="A1" t="s">
        <v>102</v>
      </c>
    </row>
    <row r="3" spans="1:6" x14ac:dyDescent="0.2">
      <c r="B3" t="s">
        <v>88</v>
      </c>
      <c r="C3" s="1">
        <v>530</v>
      </c>
    </row>
    <row r="4" spans="1:6" x14ac:dyDescent="0.2">
      <c r="B4" t="s">
        <v>86</v>
      </c>
      <c r="C4" s="1">
        <v>700</v>
      </c>
    </row>
    <row r="5" spans="1:6" x14ac:dyDescent="0.2">
      <c r="B5" t="s">
        <v>87</v>
      </c>
      <c r="C5" s="1">
        <v>330</v>
      </c>
    </row>
    <row r="6" spans="1:6" x14ac:dyDescent="0.2">
      <c r="B6" t="s">
        <v>103</v>
      </c>
      <c r="C6" s="1">
        <v>400</v>
      </c>
    </row>
    <row r="7" spans="1:6" x14ac:dyDescent="0.2">
      <c r="B7" t="s">
        <v>104</v>
      </c>
      <c r="C7" s="1">
        <v>350</v>
      </c>
    </row>
    <row r="9" spans="1:6" x14ac:dyDescent="0.2">
      <c r="C9" t="s">
        <v>105</v>
      </c>
      <c r="D9">
        <f>C3</f>
        <v>530</v>
      </c>
      <c r="E9">
        <f>C5</f>
        <v>330</v>
      </c>
      <c r="F9">
        <v>1</v>
      </c>
    </row>
    <row r="10" spans="1:6" x14ac:dyDescent="0.2">
      <c r="C10" t="s">
        <v>37</v>
      </c>
      <c r="D10">
        <f>C3</f>
        <v>530</v>
      </c>
      <c r="E10">
        <f>C6</f>
        <v>400</v>
      </c>
      <c r="F10">
        <v>1</v>
      </c>
    </row>
    <row r="11" spans="1:6" x14ac:dyDescent="0.2">
      <c r="C11" t="s">
        <v>10</v>
      </c>
      <c r="D11">
        <f>C4-36</f>
        <v>664</v>
      </c>
      <c r="E11">
        <f>C5</f>
        <v>330</v>
      </c>
      <c r="F11">
        <v>2</v>
      </c>
    </row>
    <row r="12" spans="1:6" x14ac:dyDescent="0.2">
      <c r="C12" t="s">
        <v>40</v>
      </c>
      <c r="D12">
        <f>C3-36</f>
        <v>494</v>
      </c>
      <c r="E12">
        <f>C5</f>
        <v>330</v>
      </c>
      <c r="F12">
        <v>1</v>
      </c>
    </row>
    <row r="13" spans="1:6" x14ac:dyDescent="0.2">
      <c r="C13" t="s">
        <v>48</v>
      </c>
      <c r="D13">
        <f>C3-4</f>
        <v>526</v>
      </c>
      <c r="E13">
        <f>C4-C7-8</f>
        <v>342</v>
      </c>
      <c r="F13">
        <v>1</v>
      </c>
    </row>
    <row r="15" spans="1:6" x14ac:dyDescent="0.2">
      <c r="C15" s="2" t="s">
        <v>6</v>
      </c>
      <c r="D15" s="2">
        <f>C3-2</f>
        <v>528</v>
      </c>
      <c r="E15" s="2">
        <f>C4-C7-18</f>
        <v>332</v>
      </c>
    </row>
    <row r="28" spans="5:5" x14ac:dyDescent="0.2">
      <c r="E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9A68-FE66-9345-B958-3BFAE1BDAA1A}">
  <dimension ref="A2:E14"/>
  <sheetViews>
    <sheetView zoomScaleNormal="100" zoomScaleSheetLayoutView="100" workbookViewId="0">
      <selection activeCell="E32" sqref="E32"/>
    </sheetView>
  </sheetViews>
  <sheetFormatPr defaultRowHeight="15" x14ac:dyDescent="0.2"/>
  <sheetData>
    <row r="2" spans="1:5" x14ac:dyDescent="0.2">
      <c r="A2" s="1" t="s">
        <v>92</v>
      </c>
      <c r="B2" s="1"/>
      <c r="C2" s="3"/>
    </row>
    <row r="3" spans="1:5" x14ac:dyDescent="0.2">
      <c r="B3" t="s">
        <v>85</v>
      </c>
      <c r="C3" s="1">
        <v>1200</v>
      </c>
    </row>
    <row r="4" spans="1:5" x14ac:dyDescent="0.2">
      <c r="B4" t="s">
        <v>86</v>
      </c>
      <c r="C4" s="1">
        <v>1820</v>
      </c>
    </row>
    <row r="5" spans="1:5" x14ac:dyDescent="0.2">
      <c r="B5" t="s">
        <v>89</v>
      </c>
      <c r="C5" s="1">
        <v>430</v>
      </c>
    </row>
    <row r="7" spans="1:5" x14ac:dyDescent="0.2">
      <c r="B7" t="s">
        <v>28</v>
      </c>
      <c r="C7">
        <f>C3</f>
        <v>1200</v>
      </c>
      <c r="D7">
        <f>C5</f>
        <v>430</v>
      </c>
      <c r="E7">
        <v>2</v>
      </c>
    </row>
    <row r="8" spans="1:5" x14ac:dyDescent="0.2">
      <c r="B8" t="s">
        <v>2</v>
      </c>
      <c r="C8">
        <f>C4-36</f>
        <v>1784</v>
      </c>
      <c r="D8">
        <f>C5</f>
        <v>430</v>
      </c>
      <c r="E8">
        <v>3</v>
      </c>
    </row>
    <row r="9" spans="1:5" x14ac:dyDescent="0.2">
      <c r="B9" t="s">
        <v>12</v>
      </c>
      <c r="C9">
        <f>C3/2-27</f>
        <v>573</v>
      </c>
      <c r="D9">
        <f>C5-20</f>
        <v>410</v>
      </c>
      <c r="E9">
        <v>4</v>
      </c>
    </row>
    <row r="10" spans="1:5" x14ac:dyDescent="0.2">
      <c r="B10" t="s">
        <v>13</v>
      </c>
      <c r="C10">
        <f>C4-3</f>
        <v>1817</v>
      </c>
      <c r="D10">
        <f>C3/2-4</f>
        <v>596</v>
      </c>
      <c r="E10">
        <v>2</v>
      </c>
    </row>
    <row r="11" spans="1:5" x14ac:dyDescent="0.2">
      <c r="B11" t="s">
        <v>42</v>
      </c>
      <c r="C11">
        <f>C3-30</f>
        <v>1170</v>
      </c>
      <c r="D11">
        <v>100</v>
      </c>
      <c r="E11">
        <v>2</v>
      </c>
    </row>
    <row r="12" spans="1:5" x14ac:dyDescent="0.2">
      <c r="C12">
        <f>C5-50</f>
        <v>380</v>
      </c>
      <c r="D12">
        <v>100</v>
      </c>
      <c r="E12">
        <v>5</v>
      </c>
    </row>
    <row r="14" spans="1:5" x14ac:dyDescent="0.2">
      <c r="B14" s="2" t="s">
        <v>21</v>
      </c>
      <c r="C14" s="2">
        <f>C4</f>
        <v>1820</v>
      </c>
      <c r="D14" s="2">
        <f>C3-4</f>
        <v>1196</v>
      </c>
      <c r="E14" s="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54F8-A5F7-374C-9CD6-678DB7180EE6}">
  <dimension ref="A1:E12"/>
  <sheetViews>
    <sheetView zoomScaleNormal="100" zoomScaleSheetLayoutView="100" workbookViewId="0">
      <selection activeCell="D17" sqref="D17"/>
    </sheetView>
  </sheetViews>
  <sheetFormatPr defaultRowHeight="15" x14ac:dyDescent="0.2"/>
  <sheetData>
    <row r="1" spans="1:5" x14ac:dyDescent="0.2">
      <c r="A1" t="s">
        <v>93</v>
      </c>
    </row>
    <row r="3" spans="1:5" x14ac:dyDescent="0.2">
      <c r="B3" t="s">
        <v>85</v>
      </c>
      <c r="C3" s="1">
        <v>900</v>
      </c>
    </row>
    <row r="4" spans="1:5" x14ac:dyDescent="0.2">
      <c r="B4" t="s">
        <v>86</v>
      </c>
      <c r="C4" s="1">
        <v>800</v>
      </c>
    </row>
    <row r="5" spans="1:5" x14ac:dyDescent="0.2">
      <c r="B5" t="s">
        <v>89</v>
      </c>
      <c r="C5" s="1">
        <v>300</v>
      </c>
    </row>
    <row r="7" spans="1:5" x14ac:dyDescent="0.2">
      <c r="B7" t="s">
        <v>28</v>
      </c>
      <c r="C7">
        <f>C3</f>
        <v>900</v>
      </c>
      <c r="D7">
        <f>C5</f>
        <v>300</v>
      </c>
      <c r="E7">
        <v>2</v>
      </c>
    </row>
    <row r="8" spans="1:5" x14ac:dyDescent="0.2">
      <c r="B8" t="s">
        <v>10</v>
      </c>
      <c r="C8">
        <f>C4-36</f>
        <v>764</v>
      </c>
      <c r="D8">
        <f>C5</f>
        <v>300</v>
      </c>
      <c r="E8">
        <v>2</v>
      </c>
    </row>
    <row r="9" spans="1:5" x14ac:dyDescent="0.2">
      <c r="B9" t="s">
        <v>12</v>
      </c>
      <c r="C9">
        <f>C3-36</f>
        <v>864</v>
      </c>
      <c r="D9">
        <f>C5</f>
        <v>300</v>
      </c>
      <c r="E9">
        <v>2</v>
      </c>
    </row>
    <row r="10" spans="1:5" x14ac:dyDescent="0.2">
      <c r="B10" t="s">
        <v>53</v>
      </c>
      <c r="C10">
        <f>C3-30</f>
        <v>870</v>
      </c>
      <c r="D10">
        <v>100</v>
      </c>
      <c r="E10">
        <v>2</v>
      </c>
    </row>
    <row r="11" spans="1:5" x14ac:dyDescent="0.2">
      <c r="C11">
        <f>C5-46</f>
        <v>254</v>
      </c>
      <c r="D11">
        <v>100</v>
      </c>
      <c r="E11">
        <v>4</v>
      </c>
    </row>
    <row r="12" spans="1:5" x14ac:dyDescent="0.2">
      <c r="B12" s="2" t="s">
        <v>21</v>
      </c>
      <c r="C12" s="2">
        <f>C3-4</f>
        <v>896</v>
      </c>
      <c r="D12" s="2">
        <f>C4-4</f>
        <v>796</v>
      </c>
      <c r="E1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C08C-CEC4-FE41-8CE7-E2D457BBDDBF}">
  <dimension ref="A1:E19"/>
  <sheetViews>
    <sheetView zoomScaleNormal="100" zoomScaleSheetLayoutView="100" workbookViewId="0">
      <selection activeCell="H12" sqref="H12"/>
    </sheetView>
  </sheetViews>
  <sheetFormatPr defaultRowHeight="15" x14ac:dyDescent="0.2"/>
  <sheetData>
    <row r="1" spans="1:5" x14ac:dyDescent="0.2">
      <c r="A1" s="1" t="s">
        <v>68</v>
      </c>
      <c r="B1" s="1" t="s">
        <v>69</v>
      </c>
    </row>
    <row r="3" spans="1:5" x14ac:dyDescent="0.2">
      <c r="B3" t="s">
        <v>86</v>
      </c>
      <c r="C3" s="1">
        <v>2570</v>
      </c>
    </row>
    <row r="4" spans="1:5" x14ac:dyDescent="0.2">
      <c r="B4" t="s">
        <v>88</v>
      </c>
      <c r="C4" s="1">
        <v>636</v>
      </c>
    </row>
    <row r="5" spans="1:5" x14ac:dyDescent="0.2">
      <c r="B5" t="s">
        <v>87</v>
      </c>
      <c r="C5" s="1">
        <v>580</v>
      </c>
    </row>
    <row r="6" spans="1:5" x14ac:dyDescent="0.2">
      <c r="B6" s="4" t="s">
        <v>73</v>
      </c>
      <c r="C6" s="4">
        <v>762</v>
      </c>
    </row>
    <row r="7" spans="1:5" ht="15.75" thickBot="1" x14ac:dyDescent="0.25">
      <c r="B7" s="4" t="s">
        <v>74</v>
      </c>
      <c r="C7" s="4">
        <v>600</v>
      </c>
    </row>
    <row r="8" spans="1:5" ht="15.75" thickBot="1" x14ac:dyDescent="0.25">
      <c r="B8" s="4" t="s">
        <v>75</v>
      </c>
      <c r="C8" s="8">
        <v>350</v>
      </c>
    </row>
    <row r="9" spans="1:5" x14ac:dyDescent="0.2">
      <c r="B9" s="4" t="s">
        <v>76</v>
      </c>
      <c r="C9" s="4">
        <f>C13-C8-C6-C7-54</f>
        <v>768</v>
      </c>
    </row>
    <row r="12" spans="1:5" x14ac:dyDescent="0.2">
      <c r="B12" t="s">
        <v>28</v>
      </c>
      <c r="C12" s="3">
        <f>C4</f>
        <v>636</v>
      </c>
      <c r="D12" s="3">
        <f>C5</f>
        <v>580</v>
      </c>
      <c r="E12">
        <v>2</v>
      </c>
    </row>
    <row r="13" spans="1:5" x14ac:dyDescent="0.2">
      <c r="B13" t="s">
        <v>2</v>
      </c>
      <c r="C13" s="3">
        <f>C3-36</f>
        <v>2534</v>
      </c>
      <c r="D13" s="3">
        <f>D12</f>
        <v>580</v>
      </c>
      <c r="E13">
        <v>2</v>
      </c>
    </row>
    <row r="14" spans="1:5" x14ac:dyDescent="0.2">
      <c r="B14" t="s">
        <v>70</v>
      </c>
      <c r="C14">
        <f>C12-36</f>
        <v>600</v>
      </c>
      <c r="D14">
        <f>D12</f>
        <v>580</v>
      </c>
      <c r="E14">
        <v>4</v>
      </c>
    </row>
    <row r="15" spans="1:5" x14ac:dyDescent="0.2">
      <c r="B15" t="s">
        <v>71</v>
      </c>
      <c r="C15">
        <f>C12/2-4</f>
        <v>314</v>
      </c>
      <c r="D15">
        <f>C6-12</f>
        <v>750</v>
      </c>
      <c r="E15">
        <v>2</v>
      </c>
    </row>
    <row r="16" spans="1:5" x14ac:dyDescent="0.2">
      <c r="B16" t="s">
        <v>72</v>
      </c>
      <c r="C16">
        <f>C12/2-4</f>
        <v>314</v>
      </c>
      <c r="D16">
        <f>C9+35</f>
        <v>803</v>
      </c>
      <c r="E16">
        <v>2</v>
      </c>
    </row>
    <row r="18" spans="2:5" x14ac:dyDescent="0.2">
      <c r="B18" s="2" t="s">
        <v>132</v>
      </c>
      <c r="C18" s="2">
        <f>C6+34</f>
        <v>796</v>
      </c>
      <c r="D18" s="2">
        <f>C12-4</f>
        <v>632</v>
      </c>
      <c r="E18">
        <v>1</v>
      </c>
    </row>
    <row r="19" spans="2:5" x14ac:dyDescent="0.2">
      <c r="B19" s="2" t="s">
        <v>131</v>
      </c>
      <c r="C19" s="2">
        <f>C9+C8+53</f>
        <v>1171</v>
      </c>
      <c r="D19" s="2">
        <f>C12-4</f>
        <v>632</v>
      </c>
      <c r="E1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AA94-2929-984D-ABD0-33416A356532}">
  <dimension ref="A1:E17"/>
  <sheetViews>
    <sheetView zoomScaleNormal="100" zoomScaleSheetLayoutView="100" workbookViewId="0">
      <selection activeCell="C14" sqref="C14"/>
    </sheetView>
  </sheetViews>
  <sheetFormatPr defaultRowHeight="15" x14ac:dyDescent="0.2"/>
  <sheetData>
    <row r="1" spans="1:5" x14ac:dyDescent="0.2">
      <c r="A1" t="s">
        <v>95</v>
      </c>
    </row>
    <row r="3" spans="1:5" x14ac:dyDescent="0.2">
      <c r="B3" t="s">
        <v>85</v>
      </c>
      <c r="C3" s="1">
        <v>1050</v>
      </c>
    </row>
    <row r="4" spans="1:5" x14ac:dyDescent="0.2">
      <c r="B4" t="s">
        <v>86</v>
      </c>
      <c r="C4" s="1">
        <v>2100</v>
      </c>
    </row>
    <row r="5" spans="1:5" x14ac:dyDescent="0.2">
      <c r="B5" t="s">
        <v>89</v>
      </c>
      <c r="C5" s="1">
        <v>580</v>
      </c>
    </row>
    <row r="6" spans="1:5" x14ac:dyDescent="0.2">
      <c r="B6" t="s">
        <v>82</v>
      </c>
      <c r="C6" s="1">
        <v>777</v>
      </c>
    </row>
    <row r="8" spans="1:5" x14ac:dyDescent="0.2">
      <c r="B8" t="s">
        <v>28</v>
      </c>
      <c r="C8">
        <f>C3</f>
        <v>1050</v>
      </c>
      <c r="D8">
        <f>C5</f>
        <v>580</v>
      </c>
      <c r="E8">
        <v>2</v>
      </c>
    </row>
    <row r="9" spans="1:5" x14ac:dyDescent="0.2">
      <c r="B9" t="s">
        <v>38</v>
      </c>
      <c r="C9">
        <f>C4-36</f>
        <v>2064</v>
      </c>
      <c r="D9">
        <f>C5</f>
        <v>580</v>
      </c>
      <c r="E9">
        <v>2</v>
      </c>
    </row>
    <row r="10" spans="1:5" x14ac:dyDescent="0.2">
      <c r="B10" t="s">
        <v>96</v>
      </c>
      <c r="C10">
        <f>C3-36</f>
        <v>1014</v>
      </c>
      <c r="D10">
        <f>C5</f>
        <v>580</v>
      </c>
      <c r="E10">
        <v>1</v>
      </c>
    </row>
    <row r="11" spans="1:5" x14ac:dyDescent="0.2">
      <c r="B11" t="s">
        <v>31</v>
      </c>
      <c r="C11">
        <f>C3-36</f>
        <v>1014</v>
      </c>
      <c r="D11">
        <f>C5-30</f>
        <v>550</v>
      </c>
      <c r="E11">
        <v>4</v>
      </c>
    </row>
    <row r="12" spans="1:5" x14ac:dyDescent="0.2">
      <c r="B12" t="s">
        <v>39</v>
      </c>
      <c r="C12">
        <f>C3-36</f>
        <v>1014</v>
      </c>
      <c r="D12">
        <v>60</v>
      </c>
      <c r="E12">
        <v>1</v>
      </c>
    </row>
    <row r="13" spans="1:5" x14ac:dyDescent="0.2">
      <c r="C13">
        <f>C3-36</f>
        <v>1014</v>
      </c>
      <c r="D13">
        <v>40</v>
      </c>
      <c r="E13">
        <v>1</v>
      </c>
    </row>
    <row r="14" spans="1:5" x14ac:dyDescent="0.2">
      <c r="B14" t="s">
        <v>98</v>
      </c>
      <c r="C14">
        <f>C6-27</f>
        <v>750</v>
      </c>
      <c r="D14">
        <f>C3/2-4</f>
        <v>521</v>
      </c>
      <c r="E14">
        <v>2</v>
      </c>
    </row>
    <row r="15" spans="1:5" x14ac:dyDescent="0.2">
      <c r="B15" t="s">
        <v>97</v>
      </c>
      <c r="C15">
        <f>C4-C14-30</f>
        <v>1320</v>
      </c>
      <c r="D15">
        <f>C3/2-4</f>
        <v>521</v>
      </c>
      <c r="E15">
        <v>2</v>
      </c>
    </row>
    <row r="17" spans="2:5" x14ac:dyDescent="0.2">
      <c r="B17" s="2" t="s">
        <v>6</v>
      </c>
      <c r="C17" s="2">
        <f>C4-3</f>
        <v>2097</v>
      </c>
      <c r="D17" s="2">
        <f>C3-3</f>
        <v>1047</v>
      </c>
      <c r="E17" s="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C19B-D3EF-5941-ACBE-066864E3488F}">
  <dimension ref="A1:E22"/>
  <sheetViews>
    <sheetView zoomScaleNormal="100" zoomScaleSheetLayoutView="100" workbookViewId="0">
      <selection activeCell="C3" sqref="C3"/>
    </sheetView>
  </sheetViews>
  <sheetFormatPr defaultRowHeight="15" x14ac:dyDescent="0.2"/>
  <sheetData>
    <row r="1" spans="1:5" x14ac:dyDescent="0.2">
      <c r="A1" s="1" t="s">
        <v>94</v>
      </c>
      <c r="B1" s="1" t="s">
        <v>19</v>
      </c>
    </row>
    <row r="3" spans="1:5" x14ac:dyDescent="0.2">
      <c r="B3" t="s">
        <v>85</v>
      </c>
      <c r="C3" s="1">
        <v>1200</v>
      </c>
    </row>
    <row r="4" spans="1:5" x14ac:dyDescent="0.2">
      <c r="B4" t="s">
        <v>86</v>
      </c>
      <c r="C4" s="1">
        <v>780</v>
      </c>
    </row>
    <row r="5" spans="1:5" x14ac:dyDescent="0.2">
      <c r="B5" t="s">
        <v>89</v>
      </c>
      <c r="C5" s="1">
        <v>580</v>
      </c>
    </row>
    <row r="8" spans="1:5" x14ac:dyDescent="0.2">
      <c r="B8" t="s">
        <v>1</v>
      </c>
      <c r="C8" s="3">
        <f>C3</f>
        <v>1200</v>
      </c>
      <c r="D8">
        <f>C5</f>
        <v>580</v>
      </c>
      <c r="E8">
        <v>1</v>
      </c>
    </row>
    <row r="9" spans="1:5" x14ac:dyDescent="0.2">
      <c r="B9" t="s">
        <v>10</v>
      </c>
      <c r="C9">
        <f>C4-18</f>
        <v>762</v>
      </c>
      <c r="D9">
        <f>C5</f>
        <v>580</v>
      </c>
      <c r="E9">
        <v>2</v>
      </c>
    </row>
    <row r="10" spans="1:5" x14ac:dyDescent="0.2">
      <c r="B10" t="s">
        <v>14</v>
      </c>
      <c r="C10">
        <f>C8-36</f>
        <v>1164</v>
      </c>
      <c r="D10">
        <v>80</v>
      </c>
      <c r="E10">
        <v>2</v>
      </c>
    </row>
    <row r="11" spans="1:5" x14ac:dyDescent="0.2">
      <c r="B11" t="s">
        <v>20</v>
      </c>
      <c r="C11">
        <f>C8/2-4</f>
        <v>596</v>
      </c>
      <c r="D11">
        <f>C4-30</f>
        <v>750</v>
      </c>
      <c r="E11">
        <v>2</v>
      </c>
    </row>
    <row r="12" spans="1:5" x14ac:dyDescent="0.2">
      <c r="B12" t="s">
        <v>12</v>
      </c>
      <c r="C12">
        <f>C8-36</f>
        <v>1164</v>
      </c>
      <c r="D12">
        <f>C5-30</f>
        <v>550</v>
      </c>
      <c r="E12">
        <v>1</v>
      </c>
    </row>
    <row r="13" spans="1:5" x14ac:dyDescent="0.2">
      <c r="B13" t="s">
        <v>22</v>
      </c>
      <c r="C13">
        <f>C8-36</f>
        <v>1164</v>
      </c>
      <c r="D13">
        <v>60</v>
      </c>
      <c r="E13">
        <v>1</v>
      </c>
    </row>
    <row r="14" spans="1:5" x14ac:dyDescent="0.2">
      <c r="C14">
        <f>C8-36</f>
        <v>1164</v>
      </c>
      <c r="D14">
        <v>40</v>
      </c>
      <c r="E14">
        <v>1</v>
      </c>
    </row>
    <row r="15" spans="1:5" x14ac:dyDescent="0.2">
      <c r="B15" t="s">
        <v>43</v>
      </c>
      <c r="C15">
        <f>C8-20</f>
        <v>1180</v>
      </c>
      <c r="D15">
        <v>100</v>
      </c>
      <c r="E15">
        <v>2</v>
      </c>
    </row>
    <row r="16" spans="1:5" x14ac:dyDescent="0.2">
      <c r="C16">
        <v>500</v>
      </c>
      <c r="D16">
        <v>100</v>
      </c>
      <c r="E16">
        <v>3</v>
      </c>
    </row>
    <row r="17" spans="2:5" x14ac:dyDescent="0.2">
      <c r="B17" t="s">
        <v>21</v>
      </c>
      <c r="C17" s="2">
        <f>C8-4</f>
        <v>1196</v>
      </c>
      <c r="D17" s="2">
        <f>C4-30</f>
        <v>750</v>
      </c>
      <c r="E17" s="2">
        <v>1</v>
      </c>
    </row>
    <row r="22" spans="2:5" x14ac:dyDescent="0.2">
      <c r="C22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F6E3-923D-AB47-8425-F169102F0BE7}">
  <dimension ref="A1:E24"/>
  <sheetViews>
    <sheetView zoomScaleNormal="100" zoomScaleSheetLayoutView="100" workbookViewId="0">
      <selection activeCell="F38" sqref="F38"/>
    </sheetView>
  </sheetViews>
  <sheetFormatPr defaultRowHeight="15" x14ac:dyDescent="0.2"/>
  <sheetData>
    <row r="1" spans="1:5" x14ac:dyDescent="0.2">
      <c r="A1" s="1" t="s">
        <v>27</v>
      </c>
      <c r="B1" s="1"/>
      <c r="C1" s="1"/>
    </row>
    <row r="3" spans="1:5" x14ac:dyDescent="0.2">
      <c r="B3" t="s">
        <v>88</v>
      </c>
      <c r="C3" s="1">
        <v>2000</v>
      </c>
    </row>
    <row r="4" spans="1:5" x14ac:dyDescent="0.2">
      <c r="B4" t="s">
        <v>86</v>
      </c>
      <c r="C4" s="1">
        <v>2100</v>
      </c>
    </row>
    <row r="5" spans="1:5" x14ac:dyDescent="0.2">
      <c r="B5" t="s">
        <v>89</v>
      </c>
      <c r="C5" s="1">
        <v>600</v>
      </c>
    </row>
    <row r="6" spans="1:5" x14ac:dyDescent="0.2">
      <c r="B6" t="s">
        <v>141</v>
      </c>
      <c r="C6" s="1">
        <v>300</v>
      </c>
    </row>
    <row r="8" spans="1:5" x14ac:dyDescent="0.2">
      <c r="B8" t="s">
        <v>28</v>
      </c>
      <c r="C8" s="3">
        <f>C3</f>
        <v>2000</v>
      </c>
      <c r="D8">
        <f>C5</f>
        <v>600</v>
      </c>
      <c r="E8">
        <v>2</v>
      </c>
    </row>
    <row r="9" spans="1:5" x14ac:dyDescent="0.2">
      <c r="B9" t="s">
        <v>10</v>
      </c>
      <c r="C9" s="3">
        <f>C4-36-D20</f>
        <v>1964</v>
      </c>
      <c r="D9">
        <f>C5</f>
        <v>600</v>
      </c>
      <c r="E9">
        <v>2</v>
      </c>
    </row>
    <row r="10" spans="1:5" x14ac:dyDescent="0.2">
      <c r="B10" t="s">
        <v>29</v>
      </c>
      <c r="C10" s="3">
        <f>C8-36</f>
        <v>1964</v>
      </c>
      <c r="D10">
        <f>C5-100</f>
        <v>500</v>
      </c>
      <c r="E10">
        <v>1</v>
      </c>
    </row>
    <row r="11" spans="1:5" x14ac:dyDescent="0.2">
      <c r="B11" t="s">
        <v>30</v>
      </c>
      <c r="C11" s="3">
        <f>C6</f>
        <v>300</v>
      </c>
      <c r="D11">
        <f>C5-100</f>
        <v>500</v>
      </c>
      <c r="E11">
        <v>2</v>
      </c>
    </row>
    <row r="12" spans="1:5" x14ac:dyDescent="0.2">
      <c r="B12" t="s">
        <v>36</v>
      </c>
      <c r="C12" s="3">
        <f>C9-C6-18</f>
        <v>1646</v>
      </c>
      <c r="D12">
        <f>C5-100</f>
        <v>500</v>
      </c>
      <c r="E12">
        <v>2</v>
      </c>
    </row>
    <row r="13" spans="1:5" x14ac:dyDescent="0.2">
      <c r="B13" t="s">
        <v>31</v>
      </c>
      <c r="C13" s="3">
        <v>500</v>
      </c>
      <c r="D13">
        <f>C5-100</f>
        <v>500</v>
      </c>
      <c r="E13">
        <v>6</v>
      </c>
    </row>
    <row r="14" spans="1:5" x14ac:dyDescent="0.2">
      <c r="B14" t="s">
        <v>32</v>
      </c>
    </row>
    <row r="15" spans="1:5" x14ac:dyDescent="0.2">
      <c r="B15" t="s">
        <v>33</v>
      </c>
      <c r="C15">
        <f>C13-8</f>
        <v>492</v>
      </c>
      <c r="D15">
        <v>160</v>
      </c>
      <c r="E15">
        <v>4</v>
      </c>
    </row>
    <row r="16" spans="1:5" x14ac:dyDescent="0.2">
      <c r="B16" t="s">
        <v>34</v>
      </c>
      <c r="C16">
        <v>110</v>
      </c>
      <c r="D16">
        <v>450</v>
      </c>
      <c r="E16">
        <v>8</v>
      </c>
    </row>
    <row r="17" spans="2:5" x14ac:dyDescent="0.2">
      <c r="C17">
        <v>110</v>
      </c>
      <c r="D17">
        <f>C13-63</f>
        <v>437</v>
      </c>
      <c r="E17">
        <v>8</v>
      </c>
    </row>
    <row r="19" spans="2:5" x14ac:dyDescent="0.2">
      <c r="B19" t="s">
        <v>13</v>
      </c>
      <c r="C19">
        <f>C10/2-20</f>
        <v>962</v>
      </c>
      <c r="D19">
        <f>C9-30</f>
        <v>1934</v>
      </c>
      <c r="E19">
        <v>2</v>
      </c>
    </row>
    <row r="20" spans="2:5" x14ac:dyDescent="0.2">
      <c r="B20" t="s">
        <v>35</v>
      </c>
      <c r="C20">
        <f>C8-30</f>
        <v>1970</v>
      </c>
      <c r="D20">
        <v>100</v>
      </c>
      <c r="E20">
        <v>2</v>
      </c>
    </row>
    <row r="21" spans="2:5" x14ac:dyDescent="0.2">
      <c r="C21">
        <v>530</v>
      </c>
      <c r="D21">
        <v>100</v>
      </c>
      <c r="E21">
        <v>4</v>
      </c>
    </row>
    <row r="22" spans="2:5" x14ac:dyDescent="0.2">
      <c r="B22" t="s">
        <v>7</v>
      </c>
      <c r="C22" s="2">
        <f>D17+34</f>
        <v>471</v>
      </c>
      <c r="D22" s="2">
        <v>448</v>
      </c>
      <c r="E22" s="2">
        <v>4</v>
      </c>
    </row>
    <row r="23" spans="2:5" x14ac:dyDescent="0.2">
      <c r="B23" t="s">
        <v>6</v>
      </c>
      <c r="C23" s="2">
        <f>C9+36</f>
        <v>2000</v>
      </c>
      <c r="D23" s="2">
        <f>C3</f>
        <v>2000</v>
      </c>
      <c r="E23" s="2">
        <v>1</v>
      </c>
    </row>
    <row r="24" spans="2:5" x14ac:dyDescent="0.2">
      <c r="C24" s="2"/>
      <c r="D24" s="2"/>
      <c r="E24" s="2"/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0EC4-114E-6D47-9B95-AC2AE0DEF2CE}">
  <dimension ref="A1:F25"/>
  <sheetViews>
    <sheetView zoomScaleNormal="100" zoomScaleSheetLayoutView="100" workbookViewId="0">
      <selection activeCell="E33" sqref="E33"/>
    </sheetView>
  </sheetViews>
  <sheetFormatPr defaultRowHeight="15" x14ac:dyDescent="0.2"/>
  <cols>
    <col min="4" max="4" width="11.296875" bestFit="1" customWidth="1"/>
  </cols>
  <sheetData>
    <row r="1" spans="1:6" x14ac:dyDescent="0.2">
      <c r="A1" t="s">
        <v>152</v>
      </c>
      <c r="C1" t="s">
        <v>162</v>
      </c>
    </row>
    <row r="3" spans="1:6" x14ac:dyDescent="0.2">
      <c r="B3" t="s">
        <v>85</v>
      </c>
      <c r="C3">
        <v>2600</v>
      </c>
    </row>
    <row r="4" spans="1:6" x14ac:dyDescent="0.2">
      <c r="B4" t="s">
        <v>90</v>
      </c>
      <c r="C4">
        <v>2400</v>
      </c>
    </row>
    <row r="5" spans="1:6" x14ac:dyDescent="0.2">
      <c r="B5" t="s">
        <v>89</v>
      </c>
      <c r="C5">
        <v>600</v>
      </c>
    </row>
    <row r="6" spans="1:6" x14ac:dyDescent="0.2">
      <c r="B6" t="s">
        <v>153</v>
      </c>
      <c r="C6">
        <v>432</v>
      </c>
    </row>
    <row r="9" spans="1:6" x14ac:dyDescent="0.2">
      <c r="C9" t="s">
        <v>28</v>
      </c>
      <c r="D9">
        <f>C3/3-12</f>
        <v>854.66666666666663</v>
      </c>
      <c r="E9">
        <f>C5-100</f>
        <v>500</v>
      </c>
      <c r="F9">
        <v>6</v>
      </c>
    </row>
    <row r="10" spans="1:6" x14ac:dyDescent="0.2">
      <c r="C10" t="s">
        <v>2</v>
      </c>
      <c r="D10">
        <f>C4-120-54-C6</f>
        <v>1794</v>
      </c>
      <c r="E10">
        <f>E9</f>
        <v>500</v>
      </c>
      <c r="F10">
        <v>6</v>
      </c>
    </row>
    <row r="11" spans="1:6" x14ac:dyDescent="0.2">
      <c r="C11" t="s">
        <v>12</v>
      </c>
      <c r="D11">
        <f>D9-36</f>
        <v>818.66666666666663</v>
      </c>
      <c r="E11">
        <f>E9</f>
        <v>500</v>
      </c>
      <c r="F11">
        <v>6</v>
      </c>
    </row>
    <row r="12" spans="1:6" x14ac:dyDescent="0.2">
      <c r="C12" t="s">
        <v>154</v>
      </c>
      <c r="D12">
        <f>(D10-D13-54)/3</f>
        <v>353.33333333333331</v>
      </c>
      <c r="E12">
        <f>E11</f>
        <v>500</v>
      </c>
      <c r="F12">
        <v>6</v>
      </c>
    </row>
    <row r="13" spans="1:6" x14ac:dyDescent="0.2">
      <c r="C13" t="s">
        <v>155</v>
      </c>
      <c r="D13">
        <v>680</v>
      </c>
      <c r="E13">
        <f>E11</f>
        <v>500</v>
      </c>
      <c r="F13">
        <v>2</v>
      </c>
    </row>
    <row r="14" spans="1:6" x14ac:dyDescent="0.2">
      <c r="C14" t="s">
        <v>156</v>
      </c>
      <c r="D14">
        <f>D9/3</f>
        <v>284.88888888888886</v>
      </c>
      <c r="E14">
        <f>E11</f>
        <v>500</v>
      </c>
      <c r="F14">
        <v>2</v>
      </c>
    </row>
    <row r="15" spans="1:6" x14ac:dyDescent="0.2">
      <c r="C15" t="s">
        <v>11</v>
      </c>
      <c r="D15">
        <f>D11-D14-34</f>
        <v>499.77777777777783</v>
      </c>
      <c r="E15">
        <v>170</v>
      </c>
      <c r="F15">
        <v>4</v>
      </c>
    </row>
    <row r="16" spans="1:6" x14ac:dyDescent="0.2">
      <c r="C16" t="s">
        <v>16</v>
      </c>
      <c r="D16">
        <f>D11-D12-81</f>
        <v>384.33333333333331</v>
      </c>
      <c r="E16">
        <v>120</v>
      </c>
      <c r="F16">
        <v>8</v>
      </c>
    </row>
    <row r="17" spans="3:6" x14ac:dyDescent="0.2">
      <c r="D17">
        <v>450</v>
      </c>
      <c r="E17">
        <v>120</v>
      </c>
      <c r="F17">
        <v>8</v>
      </c>
    </row>
    <row r="19" spans="3:6" x14ac:dyDescent="0.2">
      <c r="C19" t="s">
        <v>157</v>
      </c>
      <c r="D19">
        <f>D9</f>
        <v>854.66666666666663</v>
      </c>
      <c r="E19">
        <f>E11</f>
        <v>500</v>
      </c>
      <c r="F19">
        <v>3</v>
      </c>
    </row>
    <row r="20" spans="3:6" x14ac:dyDescent="0.2">
      <c r="C20" t="s">
        <v>158</v>
      </c>
      <c r="D20">
        <f>C6-18</f>
        <v>414</v>
      </c>
      <c r="E20">
        <f>E19</f>
        <v>500</v>
      </c>
      <c r="F20">
        <v>6</v>
      </c>
    </row>
    <row r="22" spans="3:6" x14ac:dyDescent="0.2">
      <c r="C22" t="s">
        <v>159</v>
      </c>
      <c r="D22">
        <f>C4</f>
        <v>2400</v>
      </c>
      <c r="E22">
        <f>C5</f>
        <v>600</v>
      </c>
      <c r="F22">
        <v>2</v>
      </c>
    </row>
    <row r="23" spans="3:6" x14ac:dyDescent="0.2">
      <c r="C23" t="s">
        <v>160</v>
      </c>
      <c r="D23">
        <f>C3-36</f>
        <v>2564</v>
      </c>
      <c r="E23">
        <v>200</v>
      </c>
      <c r="F23">
        <v>1</v>
      </c>
    </row>
    <row r="24" spans="3:6" x14ac:dyDescent="0.2">
      <c r="C24" t="s">
        <v>161</v>
      </c>
      <c r="D24">
        <f>D23</f>
        <v>2564</v>
      </c>
      <c r="E24">
        <v>100</v>
      </c>
      <c r="F24">
        <v>1</v>
      </c>
    </row>
    <row r="25" spans="3:6" x14ac:dyDescent="0.2">
      <c r="C25" t="s">
        <v>13</v>
      </c>
      <c r="D25">
        <f>C4-166</f>
        <v>2234</v>
      </c>
      <c r="E25">
        <f>(C3+-96)/3</f>
        <v>834.66666666666663</v>
      </c>
      <c r="F25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15D6-6731-4A4E-B376-673D0117B35B}">
  <dimension ref="A1:C18"/>
  <sheetViews>
    <sheetView zoomScaleNormal="100" zoomScaleSheetLayoutView="100" workbookViewId="0">
      <selection activeCell="C19" sqref="C19"/>
    </sheetView>
  </sheetViews>
  <sheetFormatPr defaultRowHeight="15" x14ac:dyDescent="0.2"/>
  <sheetData>
    <row r="1" spans="1:3" x14ac:dyDescent="0.2">
      <c r="A1" t="s">
        <v>142</v>
      </c>
    </row>
    <row r="4" spans="1:3" x14ac:dyDescent="0.2">
      <c r="B4" t="s">
        <v>88</v>
      </c>
      <c r="C4">
        <v>2185</v>
      </c>
    </row>
    <row r="5" spans="1:3" x14ac:dyDescent="0.2">
      <c r="B5" t="s">
        <v>86</v>
      </c>
      <c r="C5">
        <v>2515</v>
      </c>
    </row>
    <row r="6" spans="1:3" x14ac:dyDescent="0.2">
      <c r="A6" t="s">
        <v>143</v>
      </c>
      <c r="C6">
        <v>550</v>
      </c>
    </row>
    <row r="8" spans="1:3" x14ac:dyDescent="0.2">
      <c r="C8" t="s">
        <v>37</v>
      </c>
    </row>
    <row r="9" spans="1:3" x14ac:dyDescent="0.2">
      <c r="C9" t="s">
        <v>144</v>
      </c>
    </row>
    <row r="10" spans="1:3" x14ac:dyDescent="0.2">
      <c r="C10" t="s">
        <v>40</v>
      </c>
    </row>
    <row r="11" spans="1:3" x14ac:dyDescent="0.2">
      <c r="C11" t="s">
        <v>2</v>
      </c>
    </row>
    <row r="12" spans="1:3" x14ac:dyDescent="0.2">
      <c r="C12" t="s">
        <v>145</v>
      </c>
    </row>
    <row r="13" spans="1:3" x14ac:dyDescent="0.2">
      <c r="C13" t="s">
        <v>146</v>
      </c>
    </row>
    <row r="15" spans="1:3" x14ac:dyDescent="0.2">
      <c r="C15" t="s">
        <v>29</v>
      </c>
    </row>
    <row r="18" spans="3:3" x14ac:dyDescent="0.2">
      <c r="C18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8A36-CC46-BC48-8211-A14A491C7B32}">
  <dimension ref="A1:E44"/>
  <sheetViews>
    <sheetView topLeftCell="A2" zoomScaleNormal="100" zoomScaleSheetLayoutView="100" workbookViewId="0">
      <selection activeCell="C38" sqref="C38"/>
    </sheetView>
  </sheetViews>
  <sheetFormatPr defaultRowHeight="15" x14ac:dyDescent="0.2"/>
  <cols>
    <col min="4" max="5" width="12.375" bestFit="1" customWidth="1"/>
    <col min="6" max="6" width="11.296875" bestFit="1" customWidth="1"/>
  </cols>
  <sheetData>
    <row r="1" spans="1:5" x14ac:dyDescent="0.2">
      <c r="A1" s="1" t="s">
        <v>8</v>
      </c>
      <c r="B1" s="1" t="s">
        <v>9</v>
      </c>
    </row>
    <row r="3" spans="1:5" x14ac:dyDescent="0.2">
      <c r="B3" t="s">
        <v>88</v>
      </c>
      <c r="C3" s="1">
        <v>1000</v>
      </c>
    </row>
    <row r="4" spans="1:5" x14ac:dyDescent="0.2">
      <c r="B4" t="s">
        <v>86</v>
      </c>
      <c r="C4" s="1">
        <v>780</v>
      </c>
    </row>
    <row r="5" spans="1:5" x14ac:dyDescent="0.2">
      <c r="B5" t="s">
        <v>87</v>
      </c>
      <c r="C5" s="1">
        <v>560</v>
      </c>
    </row>
    <row r="6" spans="1:5" x14ac:dyDescent="0.2">
      <c r="B6" t="s">
        <v>11</v>
      </c>
      <c r="C6" s="1">
        <v>370</v>
      </c>
    </row>
    <row r="8" spans="1:5" x14ac:dyDescent="0.2">
      <c r="B8" t="s">
        <v>1</v>
      </c>
      <c r="C8" s="3">
        <f>C3</f>
        <v>1000</v>
      </c>
      <c r="D8">
        <f>C5</f>
        <v>560</v>
      </c>
      <c r="E8">
        <v>1</v>
      </c>
    </row>
    <row r="9" spans="1:5" x14ac:dyDescent="0.2">
      <c r="B9" t="s">
        <v>10</v>
      </c>
      <c r="C9" s="3">
        <f>C4-18</f>
        <v>762</v>
      </c>
      <c r="D9">
        <f>D8</f>
        <v>560</v>
      </c>
      <c r="E9">
        <v>3</v>
      </c>
    </row>
    <row r="10" spans="1:5" x14ac:dyDescent="0.2">
      <c r="B10" t="s">
        <v>11</v>
      </c>
      <c r="C10" s="3">
        <f>C6</f>
        <v>370</v>
      </c>
      <c r="D10">
        <f>(C4-D11-65)/2</f>
        <v>205</v>
      </c>
      <c r="E10">
        <v>2</v>
      </c>
    </row>
    <row r="11" spans="1:5" x14ac:dyDescent="0.2">
      <c r="C11" s="3">
        <f>C6</f>
        <v>370</v>
      </c>
      <c r="D11">
        <v>305</v>
      </c>
      <c r="E11">
        <v>1</v>
      </c>
    </row>
    <row r="12" spans="1:5" x14ac:dyDescent="0.2">
      <c r="B12" t="s">
        <v>12</v>
      </c>
      <c r="C12">
        <f>C8-C10-31</f>
        <v>599</v>
      </c>
      <c r="D12">
        <f>C5-30</f>
        <v>530</v>
      </c>
      <c r="E12">
        <v>1</v>
      </c>
    </row>
    <row r="13" spans="1:5" x14ac:dyDescent="0.2">
      <c r="B13" t="s">
        <v>13</v>
      </c>
      <c r="C13">
        <f>C12/2+9.5</f>
        <v>309</v>
      </c>
      <c r="D13">
        <f>C4-30</f>
        <v>750</v>
      </c>
      <c r="E13">
        <v>2</v>
      </c>
    </row>
    <row r="14" spans="1:5" x14ac:dyDescent="0.2">
      <c r="B14" t="s">
        <v>14</v>
      </c>
      <c r="C14">
        <f>C8-36</f>
        <v>964</v>
      </c>
      <c r="D14">
        <v>80</v>
      </c>
      <c r="E14">
        <v>2</v>
      </c>
    </row>
    <row r="15" spans="1:5" x14ac:dyDescent="0.2">
      <c r="B15" t="s">
        <v>15</v>
      </c>
      <c r="C15">
        <f>C8-36</f>
        <v>964</v>
      </c>
      <c r="D15">
        <v>60</v>
      </c>
      <c r="E15">
        <v>1</v>
      </c>
    </row>
    <row r="16" spans="1:5" x14ac:dyDescent="0.2">
      <c r="C16">
        <f>C8-36</f>
        <v>964</v>
      </c>
      <c r="D16">
        <v>40</v>
      </c>
      <c r="E16">
        <v>1</v>
      </c>
    </row>
    <row r="17" spans="1:5" x14ac:dyDescent="0.2">
      <c r="B17" t="s">
        <v>16</v>
      </c>
      <c r="C17">
        <v>120</v>
      </c>
      <c r="D17">
        <v>500</v>
      </c>
      <c r="E17">
        <v>4</v>
      </c>
    </row>
    <row r="18" spans="1:5" x14ac:dyDescent="0.2">
      <c r="C18">
        <v>120</v>
      </c>
      <c r="D18">
        <f>C10-86</f>
        <v>284</v>
      </c>
      <c r="E18">
        <v>4</v>
      </c>
    </row>
    <row r="19" spans="1:5" x14ac:dyDescent="0.2">
      <c r="C19">
        <v>200</v>
      </c>
      <c r="D19">
        <v>500</v>
      </c>
      <c r="E19">
        <v>2</v>
      </c>
    </row>
    <row r="20" spans="1:5" x14ac:dyDescent="0.2">
      <c r="C20">
        <v>200</v>
      </c>
      <c r="D20">
        <f>C10-86</f>
        <v>284</v>
      </c>
      <c r="E20">
        <v>2</v>
      </c>
    </row>
    <row r="21" spans="1:5" x14ac:dyDescent="0.2">
      <c r="B21" t="s">
        <v>17</v>
      </c>
      <c r="C21">
        <f>C8-20</f>
        <v>980</v>
      </c>
      <c r="D21">
        <v>100</v>
      </c>
      <c r="E21">
        <v>2</v>
      </c>
    </row>
    <row r="22" spans="1:5" x14ac:dyDescent="0.2">
      <c r="C22">
        <f>C5-60</f>
        <v>500</v>
      </c>
      <c r="D22">
        <v>100</v>
      </c>
      <c r="E22">
        <v>3</v>
      </c>
    </row>
    <row r="24" spans="1:5" x14ac:dyDescent="0.2">
      <c r="B24" t="s">
        <v>7</v>
      </c>
      <c r="C24" s="2">
        <f>D20+34</f>
        <v>318</v>
      </c>
      <c r="D24" s="2">
        <v>496</v>
      </c>
      <c r="E24" s="2">
        <v>3</v>
      </c>
    </row>
    <row r="25" spans="1:5" x14ac:dyDescent="0.2">
      <c r="B25" t="s">
        <v>6</v>
      </c>
      <c r="C25" s="2">
        <f>C8-5</f>
        <v>995</v>
      </c>
      <c r="D25" s="2">
        <f>C4-30</f>
        <v>750</v>
      </c>
      <c r="E25" s="2">
        <v>1</v>
      </c>
    </row>
    <row r="27" spans="1:5" x14ac:dyDescent="0.2">
      <c r="D27">
        <f>C8*D8/1000000</f>
        <v>0.56000000000000005</v>
      </c>
      <c r="E27">
        <f>(D27*B30)</f>
        <v>9531.9148936170204</v>
      </c>
    </row>
    <row r="28" spans="1:5" x14ac:dyDescent="0.2">
      <c r="D28">
        <f>C9*D9*E9/1000000</f>
        <v>1.28016</v>
      </c>
      <c r="E28">
        <f>(D28*B30)</f>
        <v>21789.957446808508</v>
      </c>
    </row>
    <row r="29" spans="1:5" x14ac:dyDescent="0.2">
      <c r="A29" t="s">
        <v>149</v>
      </c>
      <c r="B29">
        <v>80000</v>
      </c>
      <c r="D29">
        <f>C10*D10*E10/1000000</f>
        <v>0.1517</v>
      </c>
      <c r="E29">
        <f>(D29*B30)</f>
        <v>2582.127659574468</v>
      </c>
    </row>
    <row r="30" spans="1:5" x14ac:dyDescent="0.2">
      <c r="A30" t="s">
        <v>150</v>
      </c>
      <c r="B30">
        <f>B29/4.7</f>
        <v>17021.276595744679</v>
      </c>
      <c r="D30">
        <f>C11*D11/1000000</f>
        <v>0.11285000000000001</v>
      </c>
      <c r="E30">
        <f>D30*B30</f>
        <v>1920.8510638297871</v>
      </c>
    </row>
    <row r="31" spans="1:5" x14ac:dyDescent="0.2">
      <c r="D31">
        <f>C12*D12/1000000</f>
        <v>0.31746999999999997</v>
      </c>
      <c r="E31">
        <f>(D31*B30)</f>
        <v>5403.7446808510631</v>
      </c>
    </row>
    <row r="32" spans="1:5" x14ac:dyDescent="0.2">
      <c r="D32">
        <f>C13*D13*E13/1000000</f>
        <v>0.46350000000000002</v>
      </c>
      <c r="E32">
        <f>(D32*B30)</f>
        <v>7889.3617021276596</v>
      </c>
    </row>
    <row r="33" spans="4:5" x14ac:dyDescent="0.2">
      <c r="D33">
        <f>C14*D14/1000000</f>
        <v>7.7119999999999994E-2</v>
      </c>
      <c r="E33">
        <f>D33*B30</f>
        <v>1312.6808510638296</v>
      </c>
    </row>
    <row r="34" spans="4:5" x14ac:dyDescent="0.2">
      <c r="D34">
        <f>C21*D21*5/1000000</f>
        <v>0.49</v>
      </c>
      <c r="E34">
        <f>D34*B30</f>
        <v>8340.4255319148924</v>
      </c>
    </row>
    <row r="35" spans="4:5" x14ac:dyDescent="0.2">
      <c r="D35">
        <f>C17*D17*E17/1000000</f>
        <v>0.24</v>
      </c>
      <c r="E35">
        <f>D35*B30</f>
        <v>4085.1063829787226</v>
      </c>
    </row>
    <row r="36" spans="4:5" x14ac:dyDescent="0.2">
      <c r="D36">
        <f>C18*D18*E18/1000000</f>
        <v>0.13632</v>
      </c>
      <c r="E36">
        <f>D36*B30</f>
        <v>2320.3404255319147</v>
      </c>
    </row>
    <row r="37" spans="4:5" x14ac:dyDescent="0.2">
      <c r="D37">
        <f>C19*D19*E19/1000000</f>
        <v>0.2</v>
      </c>
      <c r="E37">
        <f>(D37*B30)</f>
        <v>3404.255319148936</v>
      </c>
    </row>
    <row r="38" spans="4:5" x14ac:dyDescent="0.2">
      <c r="D38">
        <f>C20*D20*E20/1000000</f>
        <v>0.11360000000000001</v>
      </c>
      <c r="E38">
        <f>(D38*B30)</f>
        <v>1933.6170212765956</v>
      </c>
    </row>
    <row r="40" spans="4:5" x14ac:dyDescent="0.2">
      <c r="D40">
        <f>D27+D29+D31+D30+D28+D33+D32+D34+D35+D36+D37+D38</f>
        <v>4.1427199999999997</v>
      </c>
      <c r="E40">
        <f>E27+E28+E29+E31+E30+E32+E33+E34+E35+E36+E37+E38</f>
        <v>70514.382978723414</v>
      </c>
    </row>
    <row r="44" spans="4:5" x14ac:dyDescent="0.2">
      <c r="E44" s="3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B837-122F-0D47-8B79-6FADDA4664B9}">
  <dimension ref="A1:F27"/>
  <sheetViews>
    <sheetView zoomScaleNormal="100" zoomScaleSheetLayoutView="100" workbookViewId="0">
      <selection activeCell="A26" sqref="A26"/>
    </sheetView>
  </sheetViews>
  <sheetFormatPr defaultRowHeight="15" x14ac:dyDescent="0.2"/>
  <cols>
    <col min="2" max="4" width="11.296875" bestFit="1" customWidth="1"/>
    <col min="5" max="5" width="9.14453125" bestFit="1" customWidth="1"/>
  </cols>
  <sheetData>
    <row r="1" spans="1:6" x14ac:dyDescent="0.2">
      <c r="A1" t="s">
        <v>106</v>
      </c>
    </row>
    <row r="4" spans="1:6" x14ac:dyDescent="0.2">
      <c r="B4" t="s">
        <v>85</v>
      </c>
      <c r="C4" s="1">
        <v>1500</v>
      </c>
    </row>
    <row r="5" spans="1:6" x14ac:dyDescent="0.2">
      <c r="B5" t="s">
        <v>90</v>
      </c>
      <c r="C5" s="1">
        <v>750</v>
      </c>
    </row>
    <row r="6" spans="1:6" x14ac:dyDescent="0.2">
      <c r="B6" t="s">
        <v>89</v>
      </c>
      <c r="C6" s="1">
        <v>560</v>
      </c>
    </row>
    <row r="8" spans="1:6" x14ac:dyDescent="0.2">
      <c r="C8" t="s">
        <v>37</v>
      </c>
      <c r="D8">
        <f>C4</f>
        <v>1500</v>
      </c>
      <c r="E8">
        <f>C6</f>
        <v>560</v>
      </c>
      <c r="F8">
        <v>1</v>
      </c>
    </row>
    <row r="9" spans="1:6" x14ac:dyDescent="0.2">
      <c r="C9" t="s">
        <v>2</v>
      </c>
      <c r="D9">
        <f>C5-18</f>
        <v>732</v>
      </c>
      <c r="E9">
        <f>C6</f>
        <v>560</v>
      </c>
      <c r="F9">
        <v>2</v>
      </c>
    </row>
    <row r="10" spans="1:6" x14ac:dyDescent="0.2">
      <c r="C10" t="s">
        <v>3</v>
      </c>
      <c r="D10">
        <f>C4-36</f>
        <v>1464</v>
      </c>
      <c r="E10">
        <v>80</v>
      </c>
      <c r="F10">
        <v>2</v>
      </c>
    </row>
    <row r="11" spans="1:6" x14ac:dyDescent="0.2">
      <c r="C11" t="s">
        <v>107</v>
      </c>
      <c r="D11">
        <f>D10</f>
        <v>1464</v>
      </c>
      <c r="E11">
        <v>60</v>
      </c>
      <c r="F11">
        <v>1</v>
      </c>
    </row>
    <row r="12" spans="1:6" x14ac:dyDescent="0.2">
      <c r="D12">
        <f>D11</f>
        <v>1464</v>
      </c>
      <c r="E12">
        <v>40</v>
      </c>
      <c r="F12">
        <v>1</v>
      </c>
    </row>
    <row r="13" spans="1:6" x14ac:dyDescent="0.2">
      <c r="C13" t="s">
        <v>108</v>
      </c>
      <c r="D13">
        <f>E9+30</f>
        <v>590</v>
      </c>
      <c r="E13">
        <f>C5</f>
        <v>750</v>
      </c>
      <c r="F13">
        <v>1</v>
      </c>
    </row>
    <row r="14" spans="1:6" x14ac:dyDescent="0.2">
      <c r="C14" t="s">
        <v>12</v>
      </c>
      <c r="D14">
        <f>D12</f>
        <v>1464</v>
      </c>
      <c r="E14">
        <f>C6-E15-2</f>
        <v>488</v>
      </c>
      <c r="F14">
        <v>1</v>
      </c>
    </row>
    <row r="15" spans="1:6" x14ac:dyDescent="0.2">
      <c r="C15" t="s">
        <v>109</v>
      </c>
      <c r="D15">
        <f>D9</f>
        <v>732</v>
      </c>
      <c r="E15">
        <v>70</v>
      </c>
      <c r="F15">
        <v>2</v>
      </c>
    </row>
    <row r="16" spans="1:6" x14ac:dyDescent="0.2">
      <c r="C16" t="s">
        <v>41</v>
      </c>
      <c r="D16">
        <f>C5-30</f>
        <v>720</v>
      </c>
      <c r="E16">
        <f>(C4-D13-10)/2</f>
        <v>450</v>
      </c>
      <c r="F16">
        <v>2</v>
      </c>
    </row>
    <row r="18" spans="2:6" x14ac:dyDescent="0.2">
      <c r="C18" t="s">
        <v>21</v>
      </c>
      <c r="D18" s="2">
        <f>C4-4</f>
        <v>1496</v>
      </c>
      <c r="E18" s="2">
        <f>C5-30</f>
        <v>720</v>
      </c>
      <c r="F18" s="2">
        <v>1</v>
      </c>
    </row>
    <row r="20" spans="2:6" x14ac:dyDescent="0.2">
      <c r="B20">
        <v>1.4E-2</v>
      </c>
    </row>
    <row r="21" spans="2:6" x14ac:dyDescent="0.2">
      <c r="C21" t="s">
        <v>37</v>
      </c>
    </row>
    <row r="22" spans="2:6" x14ac:dyDescent="0.2">
      <c r="C22" t="s">
        <v>2</v>
      </c>
    </row>
    <row r="23" spans="2:6" x14ac:dyDescent="0.2">
      <c r="C23" t="s">
        <v>148</v>
      </c>
    </row>
    <row r="24" spans="2:6" x14ac:dyDescent="0.2">
      <c r="C24" t="s">
        <v>147</v>
      </c>
    </row>
    <row r="26" spans="2:6" x14ac:dyDescent="0.2">
      <c r="B26">
        <v>65000</v>
      </c>
    </row>
    <row r="27" spans="2:6" x14ac:dyDescent="0.2">
      <c r="B27">
        <f>B26/4.7</f>
        <v>13829.787234042553</v>
      </c>
    </row>
  </sheetData>
  <autoFilter ref="B4:C6" xr:uid="{DE73B837-122F-0D47-8B79-6FADDA4664B9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D93B-C79E-364E-AC0A-84A28CA25050}">
  <dimension ref="A1:E23"/>
  <sheetViews>
    <sheetView tabSelected="1" zoomScaleNormal="100" zoomScaleSheetLayoutView="100" workbookViewId="0">
      <selection activeCell="F36" sqref="F36"/>
    </sheetView>
  </sheetViews>
  <sheetFormatPr defaultRowHeight="15" x14ac:dyDescent="0.2"/>
  <cols>
    <col min="3" max="3" width="11.296875" bestFit="1" customWidth="1"/>
  </cols>
  <sheetData>
    <row r="1" spans="1:5" x14ac:dyDescent="0.2">
      <c r="A1" s="1" t="s">
        <v>54</v>
      </c>
      <c r="B1" s="1" t="s">
        <v>55</v>
      </c>
      <c r="C1" s="1"/>
    </row>
    <row r="3" spans="1:5" x14ac:dyDescent="0.2">
      <c r="B3" t="s">
        <v>88</v>
      </c>
      <c r="C3" s="1">
        <v>2000</v>
      </c>
    </row>
    <row r="4" spans="1:5" x14ac:dyDescent="0.2">
      <c r="B4" t="s">
        <v>86</v>
      </c>
      <c r="C4" s="1">
        <v>2600</v>
      </c>
    </row>
    <row r="5" spans="1:5" x14ac:dyDescent="0.2">
      <c r="B5" t="s">
        <v>87</v>
      </c>
      <c r="C5" s="1">
        <v>600</v>
      </c>
    </row>
    <row r="6" spans="1:5" x14ac:dyDescent="0.2">
      <c r="B6" t="s">
        <v>151</v>
      </c>
      <c r="C6" s="1">
        <v>450</v>
      </c>
    </row>
    <row r="8" spans="1:5" x14ac:dyDescent="0.2">
      <c r="B8" t="s">
        <v>28</v>
      </c>
      <c r="C8" s="3">
        <f>C3</f>
        <v>2000</v>
      </c>
      <c r="D8">
        <f>C5</f>
        <v>600</v>
      </c>
      <c r="E8">
        <v>2</v>
      </c>
    </row>
    <row r="9" spans="1:5" x14ac:dyDescent="0.2">
      <c r="B9" t="s">
        <v>2</v>
      </c>
      <c r="C9" s="3">
        <f>C4-D19-36</f>
        <v>2464</v>
      </c>
      <c r="D9">
        <f>C5</f>
        <v>600</v>
      </c>
      <c r="E9">
        <v>2</v>
      </c>
    </row>
    <row r="10" spans="1:5" x14ac:dyDescent="0.2">
      <c r="B10" t="s">
        <v>56</v>
      </c>
      <c r="C10">
        <f>C9-C14-18</f>
        <v>1996</v>
      </c>
      <c r="D10">
        <f>C5-100</f>
        <v>500</v>
      </c>
      <c r="E10">
        <v>1</v>
      </c>
    </row>
    <row r="11" spans="1:5" x14ac:dyDescent="0.2">
      <c r="B11" t="s">
        <v>31</v>
      </c>
      <c r="C11">
        <f>C13/2-70</f>
        <v>912</v>
      </c>
      <c r="D11">
        <f>C5-100</f>
        <v>500</v>
      </c>
      <c r="E11">
        <v>3</v>
      </c>
    </row>
    <row r="12" spans="1:5" x14ac:dyDescent="0.2">
      <c r="B12" t="s">
        <v>57</v>
      </c>
      <c r="C12">
        <v>380</v>
      </c>
      <c r="D12">
        <f>C5-100</f>
        <v>500</v>
      </c>
      <c r="E12">
        <v>3</v>
      </c>
    </row>
    <row r="13" spans="1:5" x14ac:dyDescent="0.2">
      <c r="B13" t="s">
        <v>29</v>
      </c>
      <c r="C13">
        <f>C8-36</f>
        <v>1964</v>
      </c>
      <c r="D13">
        <f>C5-100</f>
        <v>500</v>
      </c>
      <c r="E13">
        <v>1</v>
      </c>
    </row>
    <row r="14" spans="1:5" x14ac:dyDescent="0.2">
      <c r="B14" t="s">
        <v>58</v>
      </c>
      <c r="C14">
        <f>C6</f>
        <v>450</v>
      </c>
      <c r="D14">
        <f>C5-100</f>
        <v>500</v>
      </c>
      <c r="E14">
        <v>1</v>
      </c>
    </row>
    <row r="15" spans="1:5" x14ac:dyDescent="0.2">
      <c r="B15" t="s">
        <v>41</v>
      </c>
      <c r="C15">
        <f>C9-30</f>
        <v>2434</v>
      </c>
      <c r="D15">
        <f>C13/2-20</f>
        <v>962</v>
      </c>
      <c r="E15">
        <v>2</v>
      </c>
    </row>
    <row r="16" spans="1:5" x14ac:dyDescent="0.2">
      <c r="B16" t="s">
        <v>59</v>
      </c>
      <c r="C16">
        <f>C11-8</f>
        <v>904</v>
      </c>
      <c r="D16">
        <v>160</v>
      </c>
      <c r="E16">
        <v>2</v>
      </c>
    </row>
    <row r="17" spans="2:5" x14ac:dyDescent="0.2">
      <c r="B17" t="s">
        <v>60</v>
      </c>
      <c r="C17">
        <v>120</v>
      </c>
      <c r="D17">
        <v>450</v>
      </c>
      <c r="E17">
        <v>4</v>
      </c>
    </row>
    <row r="18" spans="2:5" x14ac:dyDescent="0.2">
      <c r="C18">
        <v>120</v>
      </c>
      <c r="D18">
        <f>C11-61</f>
        <v>851</v>
      </c>
      <c r="E18">
        <v>4</v>
      </c>
    </row>
    <row r="19" spans="2:5" x14ac:dyDescent="0.2">
      <c r="B19" t="s">
        <v>53</v>
      </c>
      <c r="C19">
        <f>C8-20</f>
        <v>1980</v>
      </c>
      <c r="D19">
        <v>100</v>
      </c>
      <c r="E19">
        <v>2</v>
      </c>
    </row>
    <row r="20" spans="2:5" x14ac:dyDescent="0.2">
      <c r="C20">
        <v>500</v>
      </c>
      <c r="D20">
        <v>100</v>
      </c>
      <c r="E20">
        <v>4</v>
      </c>
    </row>
    <row r="22" spans="2:5" x14ac:dyDescent="0.2">
      <c r="B22" s="2" t="s">
        <v>7</v>
      </c>
      <c r="C22" s="2">
        <f>D18+34</f>
        <v>885</v>
      </c>
      <c r="D22" s="2">
        <f>D17-2</f>
        <v>448</v>
      </c>
      <c r="E22" s="2">
        <f>E16</f>
        <v>2</v>
      </c>
    </row>
    <row r="23" spans="2:5" x14ac:dyDescent="0.2">
      <c r="B23" s="2" t="s">
        <v>21</v>
      </c>
      <c r="C23" s="2">
        <f>C9+34</f>
        <v>2498</v>
      </c>
      <c r="D23" s="2">
        <f>C8-2</f>
        <v>1998</v>
      </c>
      <c r="E23" s="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08D8-F842-D348-B095-53D47B661961}">
  <dimension ref="A1:E21"/>
  <sheetViews>
    <sheetView zoomScaleNormal="100" zoomScaleSheetLayoutView="100" workbookViewId="0">
      <selection activeCell="G3" sqref="G3"/>
    </sheetView>
  </sheetViews>
  <sheetFormatPr defaultRowHeight="15" x14ac:dyDescent="0.2"/>
  <sheetData>
    <row r="1" spans="1:5" x14ac:dyDescent="0.2">
      <c r="A1" s="1" t="s">
        <v>0</v>
      </c>
      <c r="B1" s="1" t="s">
        <v>61</v>
      </c>
      <c r="C1" s="1"/>
    </row>
    <row r="3" spans="1:5" x14ac:dyDescent="0.2">
      <c r="B3" t="s">
        <v>88</v>
      </c>
      <c r="C3" s="1">
        <v>630</v>
      </c>
    </row>
    <row r="4" spans="1:5" x14ac:dyDescent="0.2">
      <c r="B4" t="s">
        <v>90</v>
      </c>
      <c r="C4" s="1">
        <v>800</v>
      </c>
    </row>
    <row r="5" spans="1:5" x14ac:dyDescent="0.2">
      <c r="B5" t="s">
        <v>89</v>
      </c>
      <c r="C5" s="1">
        <v>580</v>
      </c>
    </row>
    <row r="8" spans="1:5" x14ac:dyDescent="0.2">
      <c r="B8" t="s">
        <v>37</v>
      </c>
      <c r="C8" s="3">
        <f>C3</f>
        <v>630</v>
      </c>
      <c r="D8">
        <f>C5</f>
        <v>580</v>
      </c>
      <c r="E8">
        <v>1</v>
      </c>
    </row>
    <row r="9" spans="1:5" x14ac:dyDescent="0.2">
      <c r="B9" t="s">
        <v>10</v>
      </c>
      <c r="C9">
        <f>C4-18</f>
        <v>782</v>
      </c>
      <c r="D9">
        <f>C5</f>
        <v>580</v>
      </c>
      <c r="E9">
        <v>2</v>
      </c>
    </row>
    <row r="10" spans="1:5" x14ac:dyDescent="0.2">
      <c r="B10" t="s">
        <v>3</v>
      </c>
      <c r="C10">
        <f>C8-36</f>
        <v>594</v>
      </c>
      <c r="D10">
        <v>80</v>
      </c>
      <c r="E10">
        <v>2</v>
      </c>
    </row>
    <row r="11" spans="1:5" x14ac:dyDescent="0.2">
      <c r="B11" t="s">
        <v>39</v>
      </c>
      <c r="C11">
        <f>C8-36</f>
        <v>594</v>
      </c>
      <c r="D11">
        <v>60</v>
      </c>
      <c r="E11">
        <v>1</v>
      </c>
    </row>
    <row r="12" spans="1:5" x14ac:dyDescent="0.2">
      <c r="C12">
        <f>C8-36</f>
        <v>594</v>
      </c>
      <c r="D12">
        <v>40</v>
      </c>
      <c r="E12">
        <v>1</v>
      </c>
    </row>
    <row r="13" spans="1:5" x14ac:dyDescent="0.2">
      <c r="B13" t="s">
        <v>62</v>
      </c>
      <c r="C13">
        <f>C8-4</f>
        <v>626</v>
      </c>
      <c r="D13">
        <f>C4/2-30</f>
        <v>370</v>
      </c>
      <c r="E13">
        <v>2</v>
      </c>
    </row>
    <row r="14" spans="1:5" x14ac:dyDescent="0.2">
      <c r="B14" t="s">
        <v>63</v>
      </c>
      <c r="C14">
        <v>200</v>
      </c>
      <c r="D14">
        <v>500</v>
      </c>
      <c r="E14">
        <v>4</v>
      </c>
    </row>
    <row r="15" spans="1:5" x14ac:dyDescent="0.2">
      <c r="C15">
        <v>200</v>
      </c>
      <c r="D15">
        <f>C8-99</f>
        <v>531</v>
      </c>
      <c r="E15">
        <v>4</v>
      </c>
    </row>
    <row r="16" spans="1:5" x14ac:dyDescent="0.2">
      <c r="B16" t="s">
        <v>42</v>
      </c>
      <c r="C16">
        <f>C8-20</f>
        <v>610</v>
      </c>
      <c r="D16">
        <v>100</v>
      </c>
      <c r="E16">
        <v>2</v>
      </c>
    </row>
    <row r="17" spans="2:5" x14ac:dyDescent="0.2">
      <c r="C17">
        <v>500</v>
      </c>
      <c r="D17">
        <v>100</v>
      </c>
      <c r="E17">
        <v>2</v>
      </c>
    </row>
    <row r="20" spans="2:5" x14ac:dyDescent="0.2">
      <c r="B20" s="2" t="s">
        <v>64</v>
      </c>
      <c r="C20" s="2">
        <f>D15+34</f>
        <v>565</v>
      </c>
      <c r="D20" s="2">
        <f>D14-2</f>
        <v>498</v>
      </c>
      <c r="E20" s="2">
        <v>2</v>
      </c>
    </row>
    <row r="21" spans="2:5" x14ac:dyDescent="0.2">
      <c r="B21" s="2" t="s">
        <v>6</v>
      </c>
      <c r="C21" s="2">
        <f>C8-4</f>
        <v>626</v>
      </c>
      <c r="D21" s="2">
        <f>C4-30</f>
        <v>770</v>
      </c>
      <c r="E21" s="2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0DDC-57AE-C540-BC4B-3D61FF9EAB51}">
  <dimension ref="A1:E16"/>
  <sheetViews>
    <sheetView zoomScaleNormal="100" zoomScaleSheetLayoutView="100" workbookViewId="0">
      <selection activeCell="F22" sqref="F22"/>
    </sheetView>
  </sheetViews>
  <sheetFormatPr defaultRowHeight="15" x14ac:dyDescent="0.2"/>
  <cols>
    <col min="7" max="7" width="12.23828125" bestFit="1" customWidth="1"/>
  </cols>
  <sheetData>
    <row r="1" spans="1:5" x14ac:dyDescent="0.2">
      <c r="A1" s="1" t="s">
        <v>18</v>
      </c>
      <c r="B1" s="1" t="s">
        <v>44</v>
      </c>
    </row>
    <row r="2" spans="1:5" x14ac:dyDescent="0.2">
      <c r="B2" t="s">
        <v>85</v>
      </c>
      <c r="C2" s="1">
        <v>940</v>
      </c>
    </row>
    <row r="3" spans="1:5" x14ac:dyDescent="0.2">
      <c r="B3" t="s">
        <v>85</v>
      </c>
      <c r="C3" s="1">
        <v>870</v>
      </c>
    </row>
    <row r="4" spans="1:5" x14ac:dyDescent="0.2">
      <c r="B4" t="s">
        <v>86</v>
      </c>
      <c r="C4" s="1">
        <v>780</v>
      </c>
    </row>
    <row r="5" spans="1:5" x14ac:dyDescent="0.2">
      <c r="B5" t="s">
        <v>89</v>
      </c>
      <c r="C5" s="1">
        <v>560</v>
      </c>
    </row>
    <row r="8" spans="1:5" x14ac:dyDescent="0.2">
      <c r="B8" t="s">
        <v>37</v>
      </c>
      <c r="C8" s="3">
        <f>C2</f>
        <v>940</v>
      </c>
      <c r="D8" s="3">
        <f>C3</f>
        <v>870</v>
      </c>
      <c r="E8">
        <v>1</v>
      </c>
    </row>
    <row r="9" spans="1:5" x14ac:dyDescent="0.2">
      <c r="B9" t="s">
        <v>10</v>
      </c>
      <c r="C9">
        <f>C4-18</f>
        <v>762</v>
      </c>
      <c r="D9">
        <f>C5</f>
        <v>560</v>
      </c>
      <c r="E9">
        <v>2</v>
      </c>
    </row>
    <row r="10" spans="1:5" x14ac:dyDescent="0.2">
      <c r="B10" t="s">
        <v>3</v>
      </c>
      <c r="C10">
        <f>C8-36</f>
        <v>904</v>
      </c>
      <c r="D10">
        <v>80</v>
      </c>
      <c r="E10">
        <v>3</v>
      </c>
    </row>
    <row r="11" spans="1:5" x14ac:dyDescent="0.2">
      <c r="B11" t="s">
        <v>45</v>
      </c>
      <c r="C11">
        <f>C8-18</f>
        <v>922</v>
      </c>
      <c r="D11">
        <f>D8-18</f>
        <v>852</v>
      </c>
      <c r="E11">
        <v>1</v>
      </c>
    </row>
    <row r="12" spans="1:5" x14ac:dyDescent="0.2">
      <c r="B12" t="s">
        <v>48</v>
      </c>
      <c r="C12">
        <f>C8-D9-25</f>
        <v>355</v>
      </c>
      <c r="D12">
        <f>C4-30</f>
        <v>750</v>
      </c>
      <c r="E12">
        <v>1</v>
      </c>
    </row>
    <row r="13" spans="1:5" x14ac:dyDescent="0.2">
      <c r="B13" t="s">
        <v>48</v>
      </c>
      <c r="C13">
        <f>D8-D9-25</f>
        <v>285</v>
      </c>
      <c r="D13">
        <f>C4-30</f>
        <v>750</v>
      </c>
      <c r="E13">
        <v>1</v>
      </c>
    </row>
    <row r="14" spans="1:5" x14ac:dyDescent="0.2">
      <c r="B14" t="s">
        <v>46</v>
      </c>
      <c r="C14">
        <f>C9</f>
        <v>762</v>
      </c>
      <c r="D14">
        <v>100</v>
      </c>
      <c r="E14">
        <v>1</v>
      </c>
    </row>
    <row r="15" spans="1:5" x14ac:dyDescent="0.2">
      <c r="B15" s="2" t="s">
        <v>47</v>
      </c>
      <c r="C15" s="2">
        <f>C8-2</f>
        <v>938</v>
      </c>
      <c r="D15" s="2">
        <f>C9-10</f>
        <v>752</v>
      </c>
      <c r="E15" s="2">
        <v>1</v>
      </c>
    </row>
    <row r="16" spans="1:5" x14ac:dyDescent="0.2">
      <c r="B16" s="2"/>
      <c r="C16" s="2">
        <f>D8-2</f>
        <v>868</v>
      </c>
      <c r="D16" s="2">
        <f>C9-10</f>
        <v>752</v>
      </c>
      <c r="E16" s="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4FE1-F6C8-F94D-87E7-B568B3004611}">
  <dimension ref="A1:E12"/>
  <sheetViews>
    <sheetView zoomScaleNormal="100" zoomScaleSheetLayoutView="100" workbookViewId="0">
      <selection activeCell="C3" sqref="C3"/>
    </sheetView>
  </sheetViews>
  <sheetFormatPr defaultRowHeight="15" x14ac:dyDescent="0.2"/>
  <sheetData>
    <row r="1" spans="1:5" x14ac:dyDescent="0.2">
      <c r="A1" s="1" t="s">
        <v>49</v>
      </c>
      <c r="B1" s="1" t="s">
        <v>19</v>
      </c>
      <c r="C1" s="1" t="s">
        <v>50</v>
      </c>
    </row>
    <row r="3" spans="1:5" x14ac:dyDescent="0.2">
      <c r="B3" t="s">
        <v>85</v>
      </c>
      <c r="C3" s="1">
        <v>780</v>
      </c>
    </row>
    <row r="4" spans="1:5" x14ac:dyDescent="0.2">
      <c r="B4" t="s">
        <v>86</v>
      </c>
      <c r="C4" s="1">
        <v>500</v>
      </c>
    </row>
    <row r="5" spans="1:5" x14ac:dyDescent="0.2">
      <c r="B5" t="s">
        <v>87</v>
      </c>
      <c r="C5" s="1">
        <v>300</v>
      </c>
    </row>
    <row r="8" spans="1:5" x14ac:dyDescent="0.2">
      <c r="B8" t="s">
        <v>28</v>
      </c>
      <c r="C8" s="3">
        <f>C3</f>
        <v>780</v>
      </c>
      <c r="D8" s="3">
        <f>C5</f>
        <v>300</v>
      </c>
      <c r="E8">
        <v>2</v>
      </c>
    </row>
    <row r="9" spans="1:5" x14ac:dyDescent="0.2">
      <c r="B9" t="s">
        <v>10</v>
      </c>
      <c r="C9" s="3">
        <f>C4-36</f>
        <v>464</v>
      </c>
      <c r="D9">
        <f>D8</f>
        <v>300</v>
      </c>
      <c r="E9">
        <v>2</v>
      </c>
    </row>
    <row r="10" spans="1:5" x14ac:dyDescent="0.2">
      <c r="B10" t="s">
        <v>12</v>
      </c>
      <c r="C10">
        <f>C8-36</f>
        <v>744</v>
      </c>
      <c r="D10">
        <f>D8-30</f>
        <v>270</v>
      </c>
      <c r="E10">
        <v>1</v>
      </c>
    </row>
    <row r="11" spans="1:5" x14ac:dyDescent="0.2">
      <c r="B11" t="s">
        <v>41</v>
      </c>
      <c r="C11">
        <f>C8/2-4</f>
        <v>386</v>
      </c>
      <c r="D11">
        <f>C9+51</f>
        <v>515</v>
      </c>
      <c r="E11">
        <v>2</v>
      </c>
    </row>
    <row r="12" spans="1:5" x14ac:dyDescent="0.2">
      <c r="B12" s="2" t="s">
        <v>21</v>
      </c>
      <c r="C12" s="2">
        <f>C8-2</f>
        <v>778</v>
      </c>
      <c r="D12" s="2">
        <f>C9+34</f>
        <v>498</v>
      </c>
      <c r="E12" s="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33E6-0A7F-3049-8431-FD890E7B518C}">
  <dimension ref="A1:E17"/>
  <sheetViews>
    <sheetView zoomScaleNormal="100" zoomScaleSheetLayoutView="100" workbookViewId="0">
      <selection activeCell="G20" sqref="G20"/>
    </sheetView>
  </sheetViews>
  <sheetFormatPr defaultRowHeight="15" x14ac:dyDescent="0.2"/>
  <sheetData>
    <row r="1" spans="1:5" x14ac:dyDescent="0.2">
      <c r="A1" s="1" t="s">
        <v>24</v>
      </c>
      <c r="B1" s="1"/>
    </row>
    <row r="3" spans="1:5" x14ac:dyDescent="0.2">
      <c r="B3" t="s">
        <v>88</v>
      </c>
      <c r="C3" s="1">
        <v>570</v>
      </c>
    </row>
    <row r="4" spans="1:5" x14ac:dyDescent="0.2">
      <c r="B4" t="s">
        <v>86</v>
      </c>
      <c r="C4" s="1">
        <v>780</v>
      </c>
    </row>
    <row r="5" spans="1:5" x14ac:dyDescent="0.2">
      <c r="B5" t="s">
        <v>89</v>
      </c>
      <c r="C5" s="1">
        <v>580</v>
      </c>
    </row>
    <row r="8" spans="1:5" x14ac:dyDescent="0.2">
      <c r="B8" t="s">
        <v>1</v>
      </c>
      <c r="C8" s="3">
        <f>C3</f>
        <v>570</v>
      </c>
      <c r="D8">
        <f>C5</f>
        <v>580</v>
      </c>
      <c r="E8">
        <v>1</v>
      </c>
    </row>
    <row r="9" spans="1:5" x14ac:dyDescent="0.2">
      <c r="B9" t="s">
        <v>25</v>
      </c>
      <c r="C9">
        <f>C4-18</f>
        <v>762</v>
      </c>
      <c r="D9">
        <f>C5</f>
        <v>580</v>
      </c>
      <c r="E9">
        <v>2</v>
      </c>
    </row>
    <row r="10" spans="1:5" x14ac:dyDescent="0.2">
      <c r="B10" t="s">
        <v>14</v>
      </c>
      <c r="C10">
        <f>C8-36</f>
        <v>534</v>
      </c>
      <c r="D10">
        <v>80</v>
      </c>
      <c r="E10">
        <v>2</v>
      </c>
    </row>
    <row r="11" spans="1:5" x14ac:dyDescent="0.2">
      <c r="B11" t="s">
        <v>15</v>
      </c>
      <c r="C11">
        <f>C8-36</f>
        <v>534</v>
      </c>
      <c r="D11">
        <v>60</v>
      </c>
      <c r="E11">
        <v>1</v>
      </c>
    </row>
    <row r="12" spans="1:5" x14ac:dyDescent="0.2">
      <c r="C12">
        <f>C8-36</f>
        <v>534</v>
      </c>
      <c r="D12">
        <v>40</v>
      </c>
      <c r="E12">
        <v>1</v>
      </c>
    </row>
    <row r="13" spans="1:5" x14ac:dyDescent="0.2">
      <c r="B13" t="s">
        <v>26</v>
      </c>
      <c r="C13">
        <f>C8-4</f>
        <v>566</v>
      </c>
      <c r="D13">
        <f>C4-30</f>
        <v>750</v>
      </c>
      <c r="E13">
        <v>1</v>
      </c>
    </row>
    <row r="14" spans="1:5" x14ac:dyDescent="0.2">
      <c r="B14" t="s">
        <v>12</v>
      </c>
      <c r="C14">
        <f>C8-36</f>
        <v>534</v>
      </c>
      <c r="D14">
        <v>530</v>
      </c>
      <c r="E14">
        <v>1</v>
      </c>
    </row>
    <row r="15" spans="1:5" x14ac:dyDescent="0.2">
      <c r="B15" t="s">
        <v>53</v>
      </c>
      <c r="C15">
        <f>C8-20</f>
        <v>550</v>
      </c>
      <c r="D15">
        <v>100</v>
      </c>
      <c r="E15">
        <v>2</v>
      </c>
    </row>
    <row r="16" spans="1:5" x14ac:dyDescent="0.2">
      <c r="C16">
        <v>500</v>
      </c>
      <c r="D16">
        <v>100</v>
      </c>
      <c r="E16">
        <v>2</v>
      </c>
    </row>
    <row r="17" spans="2:5" x14ac:dyDescent="0.2">
      <c r="B17" t="s">
        <v>6</v>
      </c>
      <c r="C17" s="2">
        <f>C8-4</f>
        <v>566</v>
      </c>
      <c r="D17" s="2">
        <f>C4-30</f>
        <v>750</v>
      </c>
      <c r="E17" s="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8B88-F877-A345-AC7E-336E3FD2BA88}">
  <dimension ref="A1:E18"/>
  <sheetViews>
    <sheetView zoomScaleNormal="100" zoomScaleSheetLayoutView="100" workbookViewId="0">
      <selection activeCell="C5" sqref="C5"/>
    </sheetView>
  </sheetViews>
  <sheetFormatPr defaultRowHeight="15" x14ac:dyDescent="0.2"/>
  <sheetData>
    <row r="1" spans="1:5" x14ac:dyDescent="0.2">
      <c r="A1" s="1" t="s">
        <v>91</v>
      </c>
      <c r="B1" s="1" t="s">
        <v>41</v>
      </c>
    </row>
    <row r="3" spans="1:5" x14ac:dyDescent="0.2">
      <c r="B3" t="s">
        <v>88</v>
      </c>
      <c r="C3" s="1">
        <v>1546</v>
      </c>
    </row>
    <row r="4" spans="1:5" x14ac:dyDescent="0.2">
      <c r="B4" t="s">
        <v>90</v>
      </c>
      <c r="C4" s="1">
        <v>880</v>
      </c>
    </row>
    <row r="5" spans="1:5" x14ac:dyDescent="0.2">
      <c r="B5" t="s">
        <v>87</v>
      </c>
      <c r="C5" s="1">
        <v>610</v>
      </c>
    </row>
    <row r="8" spans="1:5" x14ac:dyDescent="0.2">
      <c r="B8" t="s">
        <v>37</v>
      </c>
      <c r="C8" s="3">
        <f>C3</f>
        <v>1546</v>
      </c>
      <c r="D8">
        <f>C5</f>
        <v>610</v>
      </c>
      <c r="E8">
        <v>1</v>
      </c>
    </row>
    <row r="9" spans="1:5" x14ac:dyDescent="0.2">
      <c r="B9" t="s">
        <v>38</v>
      </c>
      <c r="C9">
        <f>C4-18</f>
        <v>862</v>
      </c>
      <c r="D9">
        <f>C5</f>
        <v>610</v>
      </c>
      <c r="E9">
        <v>3</v>
      </c>
    </row>
    <row r="10" spans="1:5" x14ac:dyDescent="0.2">
      <c r="B10" t="s">
        <v>3</v>
      </c>
      <c r="C10">
        <f>C8-36</f>
        <v>1510</v>
      </c>
      <c r="D10">
        <v>80</v>
      </c>
      <c r="E10">
        <v>2</v>
      </c>
    </row>
    <row r="11" spans="1:5" x14ac:dyDescent="0.2">
      <c r="B11" t="s">
        <v>39</v>
      </c>
      <c r="C11">
        <f>C8-36</f>
        <v>1510</v>
      </c>
      <c r="D11">
        <v>60</v>
      </c>
      <c r="E11">
        <v>1</v>
      </c>
    </row>
    <row r="12" spans="1:5" x14ac:dyDescent="0.2">
      <c r="C12">
        <f>C8-36</f>
        <v>1510</v>
      </c>
      <c r="D12">
        <v>40</v>
      </c>
      <c r="E12">
        <v>1</v>
      </c>
    </row>
    <row r="13" spans="1:5" x14ac:dyDescent="0.2">
      <c r="B13" t="s">
        <v>40</v>
      </c>
      <c r="C13">
        <f>C15-23</f>
        <v>488.33333333333337</v>
      </c>
      <c r="D13">
        <f>C5-30</f>
        <v>580</v>
      </c>
      <c r="E13">
        <v>1</v>
      </c>
    </row>
    <row r="14" spans="1:5" x14ac:dyDescent="0.2">
      <c r="B14" t="s">
        <v>40</v>
      </c>
      <c r="C14">
        <f>C8-C13-54</f>
        <v>1003.6666666666665</v>
      </c>
      <c r="D14">
        <f>C5-30</f>
        <v>580</v>
      </c>
      <c r="E14">
        <v>1</v>
      </c>
    </row>
    <row r="15" spans="1:5" x14ac:dyDescent="0.2">
      <c r="B15" t="s">
        <v>41</v>
      </c>
      <c r="C15">
        <f>C8/3-4</f>
        <v>511.33333333333337</v>
      </c>
      <c r="D15">
        <f>C4-30</f>
        <v>850</v>
      </c>
      <c r="E15">
        <v>3</v>
      </c>
    </row>
    <row r="16" spans="1:5" x14ac:dyDescent="0.2">
      <c r="B16" t="s">
        <v>42</v>
      </c>
      <c r="C16">
        <f>C8-20</f>
        <v>1526</v>
      </c>
      <c r="D16">
        <v>100</v>
      </c>
      <c r="E16">
        <v>2</v>
      </c>
    </row>
    <row r="17" spans="2:5" x14ac:dyDescent="0.2">
      <c r="C17">
        <v>500</v>
      </c>
      <c r="D17">
        <v>100</v>
      </c>
      <c r="E17">
        <v>3</v>
      </c>
    </row>
    <row r="18" spans="2:5" x14ac:dyDescent="0.2">
      <c r="B18" s="2" t="s">
        <v>21</v>
      </c>
      <c r="C18" s="2">
        <f>C8-4</f>
        <v>1542</v>
      </c>
      <c r="D18" s="2">
        <f>C4-30</f>
        <v>850</v>
      </c>
      <c r="E18" s="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1E46-BF8D-8A42-9E13-B4EA15D9A385}">
  <dimension ref="A1:F24"/>
  <sheetViews>
    <sheetView topLeftCell="A5" zoomScaleNormal="100" zoomScaleSheetLayoutView="100" workbookViewId="0">
      <selection activeCell="B33" sqref="B33"/>
    </sheetView>
  </sheetViews>
  <sheetFormatPr defaultRowHeight="15" x14ac:dyDescent="0.2"/>
  <sheetData>
    <row r="1" spans="1:6" x14ac:dyDescent="0.2">
      <c r="A1" s="1" t="s">
        <v>124</v>
      </c>
      <c r="B1" s="1"/>
      <c r="C1" s="1"/>
    </row>
    <row r="4" spans="1:6" x14ac:dyDescent="0.2">
      <c r="B4" t="s">
        <v>88</v>
      </c>
      <c r="C4" s="1">
        <v>1181</v>
      </c>
    </row>
    <row r="5" spans="1:6" x14ac:dyDescent="0.2">
      <c r="B5" t="s">
        <v>90</v>
      </c>
      <c r="C5" s="1">
        <v>650</v>
      </c>
    </row>
    <row r="6" spans="1:6" x14ac:dyDescent="0.2">
      <c r="B6" t="s">
        <v>89</v>
      </c>
      <c r="C6" s="1">
        <v>550</v>
      </c>
    </row>
    <row r="8" spans="1:6" x14ac:dyDescent="0.2">
      <c r="C8" t="s">
        <v>37</v>
      </c>
      <c r="D8">
        <f>C4</f>
        <v>1181</v>
      </c>
      <c r="E8">
        <f>C6</f>
        <v>550</v>
      </c>
      <c r="F8">
        <v>1</v>
      </c>
    </row>
    <row r="9" spans="1:6" x14ac:dyDescent="0.2">
      <c r="C9" t="s">
        <v>2</v>
      </c>
      <c r="D9">
        <f>C5-18</f>
        <v>632</v>
      </c>
      <c r="E9">
        <f>C6</f>
        <v>550</v>
      </c>
      <c r="F9">
        <v>2</v>
      </c>
    </row>
    <row r="10" spans="1:6" x14ac:dyDescent="0.2">
      <c r="C10" t="s">
        <v>3</v>
      </c>
      <c r="D10">
        <f>C4-36</f>
        <v>1145</v>
      </c>
      <c r="E10">
        <v>150</v>
      </c>
      <c r="F10">
        <v>1</v>
      </c>
    </row>
    <row r="11" spans="1:6" x14ac:dyDescent="0.2">
      <c r="C11" t="s">
        <v>62</v>
      </c>
      <c r="D11">
        <f>C4-4</f>
        <v>1177</v>
      </c>
      <c r="E11">
        <f>(C5-60)/2</f>
        <v>295</v>
      </c>
      <c r="F11">
        <v>2</v>
      </c>
    </row>
    <row r="12" spans="1:6" x14ac:dyDescent="0.2">
      <c r="C12" t="s">
        <v>107</v>
      </c>
      <c r="D12">
        <f>C4-36</f>
        <v>1145</v>
      </c>
      <c r="E12">
        <v>60</v>
      </c>
      <c r="F12">
        <v>2</v>
      </c>
    </row>
    <row r="13" spans="1:6" x14ac:dyDescent="0.2">
      <c r="D13">
        <f>D12</f>
        <v>1145</v>
      </c>
      <c r="E13">
        <v>40</v>
      </c>
      <c r="F13">
        <v>2</v>
      </c>
    </row>
    <row r="14" spans="1:6" x14ac:dyDescent="0.2">
      <c r="C14" t="s">
        <v>63</v>
      </c>
      <c r="D14">
        <v>450</v>
      </c>
      <c r="E14">
        <v>170</v>
      </c>
      <c r="F14">
        <v>2</v>
      </c>
    </row>
    <row r="15" spans="1:6" x14ac:dyDescent="0.2">
      <c r="D15">
        <f>C4-99</f>
        <v>1082</v>
      </c>
      <c r="E15">
        <v>170</v>
      </c>
      <c r="F15">
        <v>2</v>
      </c>
    </row>
    <row r="17" spans="2:6" x14ac:dyDescent="0.2">
      <c r="B17" t="s">
        <v>129</v>
      </c>
      <c r="D17">
        <f>D15</f>
        <v>1082</v>
      </c>
      <c r="E17">
        <v>170</v>
      </c>
      <c r="F17">
        <v>1</v>
      </c>
    </row>
    <row r="18" spans="2:6" x14ac:dyDescent="0.2">
      <c r="B18" t="s">
        <v>128</v>
      </c>
      <c r="D18">
        <f>D14</f>
        <v>450</v>
      </c>
      <c r="E18">
        <v>170</v>
      </c>
      <c r="F18">
        <v>2</v>
      </c>
    </row>
    <row r="19" spans="2:6" x14ac:dyDescent="0.2">
      <c r="B19" t="s">
        <v>127</v>
      </c>
      <c r="D19">
        <v>200</v>
      </c>
      <c r="E19">
        <v>170</v>
      </c>
      <c r="F19">
        <v>2</v>
      </c>
    </row>
    <row r="20" spans="2:6" x14ac:dyDescent="0.2">
      <c r="B20" t="s">
        <v>126</v>
      </c>
      <c r="D20">
        <f>D18-170</f>
        <v>280</v>
      </c>
      <c r="E20">
        <v>170</v>
      </c>
      <c r="F20">
        <v>2</v>
      </c>
    </row>
    <row r="21" spans="2:6" x14ac:dyDescent="0.2">
      <c r="B21" t="s">
        <v>125</v>
      </c>
      <c r="D21">
        <f>D17-D19-36-D19</f>
        <v>646</v>
      </c>
      <c r="E21">
        <v>170</v>
      </c>
      <c r="F21">
        <v>1</v>
      </c>
    </row>
    <row r="23" spans="2:6" x14ac:dyDescent="0.2">
      <c r="C23" s="2" t="s">
        <v>7</v>
      </c>
      <c r="D23" s="2">
        <f>D14</f>
        <v>450</v>
      </c>
      <c r="E23" s="2">
        <f>D15+35</f>
        <v>1117</v>
      </c>
      <c r="F23" s="2">
        <v>2</v>
      </c>
    </row>
    <row r="24" spans="2:6" x14ac:dyDescent="0.2">
      <c r="C24" s="2" t="s">
        <v>21</v>
      </c>
      <c r="D24" s="2">
        <f>C4-2</f>
        <v>1179</v>
      </c>
      <c r="E24" s="2">
        <f>C5-5</f>
        <v>645</v>
      </c>
      <c r="F24" s="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87D1-1938-1C42-BE30-461BEE9DBC5A}">
  <dimension ref="A1:F19"/>
  <sheetViews>
    <sheetView zoomScaleNormal="100" zoomScaleSheetLayoutView="100" workbookViewId="0">
      <selection activeCell="H28" sqref="H28"/>
    </sheetView>
  </sheetViews>
  <sheetFormatPr defaultRowHeight="15" x14ac:dyDescent="0.2"/>
  <sheetData>
    <row r="1" spans="1:6" x14ac:dyDescent="0.2">
      <c r="A1" s="1" t="s">
        <v>130</v>
      </c>
      <c r="B1" s="1"/>
    </row>
    <row r="4" spans="1:6" x14ac:dyDescent="0.2">
      <c r="B4" t="s">
        <v>85</v>
      </c>
      <c r="C4" s="1">
        <v>1500</v>
      </c>
    </row>
    <row r="5" spans="1:6" x14ac:dyDescent="0.2">
      <c r="B5" t="s">
        <v>86</v>
      </c>
      <c r="C5" s="1">
        <v>780</v>
      </c>
    </row>
    <row r="6" spans="1:6" x14ac:dyDescent="0.2">
      <c r="B6" t="s">
        <v>89</v>
      </c>
      <c r="C6" s="1">
        <v>580</v>
      </c>
    </row>
    <row r="8" spans="1:6" x14ac:dyDescent="0.2">
      <c r="C8" t="s">
        <v>37</v>
      </c>
      <c r="D8">
        <f>C4</f>
        <v>1500</v>
      </c>
      <c r="E8">
        <f>C6</f>
        <v>580</v>
      </c>
      <c r="F8">
        <v>1</v>
      </c>
    </row>
    <row r="9" spans="1:6" x14ac:dyDescent="0.2">
      <c r="C9" t="s">
        <v>2</v>
      </c>
      <c r="D9">
        <f>C5-18</f>
        <v>762</v>
      </c>
      <c r="E9">
        <f>C6</f>
        <v>580</v>
      </c>
      <c r="F9">
        <v>3</v>
      </c>
    </row>
    <row r="10" spans="1:6" x14ac:dyDescent="0.2">
      <c r="C10" t="s">
        <v>3</v>
      </c>
      <c r="D10">
        <f>C4-36</f>
        <v>1464</v>
      </c>
      <c r="E10">
        <v>80</v>
      </c>
      <c r="F10">
        <v>2</v>
      </c>
    </row>
    <row r="11" spans="1:6" x14ac:dyDescent="0.2">
      <c r="C11" t="s">
        <v>111</v>
      </c>
      <c r="D11">
        <f>D10</f>
        <v>1464</v>
      </c>
      <c r="E11">
        <v>60</v>
      </c>
      <c r="F11">
        <v>1</v>
      </c>
    </row>
    <row r="12" spans="1:6" x14ac:dyDescent="0.2">
      <c r="D12">
        <f>D11</f>
        <v>1464</v>
      </c>
      <c r="E12">
        <v>40</v>
      </c>
      <c r="F12">
        <v>1</v>
      </c>
    </row>
    <row r="13" spans="1:6" x14ac:dyDescent="0.2">
      <c r="C13" t="s">
        <v>70</v>
      </c>
      <c r="D13">
        <f>(C4-54)/2</f>
        <v>723</v>
      </c>
      <c r="E13">
        <f>C6-30</f>
        <v>550</v>
      </c>
      <c r="F13">
        <v>2</v>
      </c>
    </row>
    <row r="14" spans="1:6" x14ac:dyDescent="0.2">
      <c r="C14" t="s">
        <v>13</v>
      </c>
      <c r="D14">
        <f>C5-30</f>
        <v>750</v>
      </c>
      <c r="E14">
        <f>(C4-16)/4</f>
        <v>371</v>
      </c>
      <c r="F14">
        <v>4</v>
      </c>
    </row>
    <row r="16" spans="1:6" x14ac:dyDescent="0.2">
      <c r="C16" t="s">
        <v>53</v>
      </c>
      <c r="D16">
        <f>C4-20</f>
        <v>1480</v>
      </c>
      <c r="E16">
        <v>100</v>
      </c>
      <c r="F16">
        <v>2</v>
      </c>
    </row>
    <row r="17" spans="3:6" x14ac:dyDescent="0.2">
      <c r="D17">
        <f>C6-70</f>
        <v>510</v>
      </c>
      <c r="E17">
        <v>100</v>
      </c>
      <c r="F17">
        <v>4</v>
      </c>
    </row>
    <row r="19" spans="3:6" x14ac:dyDescent="0.2">
      <c r="C19" s="2" t="s">
        <v>21</v>
      </c>
      <c r="D19" s="2">
        <f>C4-4</f>
        <v>1496</v>
      </c>
      <c r="E19" s="2">
        <f>C5-30</f>
        <v>750</v>
      </c>
      <c r="F19" s="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3B28-53FA-3940-B76E-29C17929E576}">
  <dimension ref="A1:E20"/>
  <sheetViews>
    <sheetView topLeftCell="A17" zoomScaleNormal="100" zoomScaleSheetLayoutView="100" workbookViewId="0">
      <selection activeCell="F38" sqref="F38"/>
    </sheetView>
  </sheetViews>
  <sheetFormatPr defaultRowHeight="15" x14ac:dyDescent="0.2"/>
  <sheetData>
    <row r="1" spans="1:5" x14ac:dyDescent="0.2">
      <c r="A1" s="1" t="s">
        <v>49</v>
      </c>
      <c r="B1" s="1" t="s">
        <v>51</v>
      </c>
      <c r="C1" s="1"/>
    </row>
    <row r="3" spans="1:5" x14ac:dyDescent="0.2">
      <c r="B3" t="s">
        <v>85</v>
      </c>
      <c r="C3" s="1">
        <v>1171</v>
      </c>
    </row>
    <row r="4" spans="1:5" x14ac:dyDescent="0.2">
      <c r="B4" t="s">
        <v>90</v>
      </c>
      <c r="C4" s="1">
        <v>500</v>
      </c>
    </row>
    <row r="5" spans="1:5" x14ac:dyDescent="0.2">
      <c r="B5" t="s">
        <v>89</v>
      </c>
      <c r="C5" s="1">
        <v>300</v>
      </c>
    </row>
    <row r="7" spans="1:5" x14ac:dyDescent="0.2">
      <c r="C7" s="3"/>
      <c r="D7" s="3"/>
    </row>
    <row r="8" spans="1:5" x14ac:dyDescent="0.2">
      <c r="B8" t="s">
        <v>28</v>
      </c>
      <c r="C8" s="3">
        <f>C3</f>
        <v>1171</v>
      </c>
      <c r="D8" s="3">
        <f>C5</f>
        <v>300</v>
      </c>
      <c r="E8">
        <v>2</v>
      </c>
    </row>
    <row r="9" spans="1:5" x14ac:dyDescent="0.2">
      <c r="B9" t="s">
        <v>52</v>
      </c>
      <c r="C9" s="3">
        <f>C4-36</f>
        <v>464</v>
      </c>
      <c r="D9" s="3">
        <f>D8</f>
        <v>300</v>
      </c>
      <c r="E9">
        <v>3</v>
      </c>
    </row>
    <row r="10" spans="1:5" x14ac:dyDescent="0.2">
      <c r="B10" t="s">
        <v>12</v>
      </c>
      <c r="C10" s="3">
        <f>C8-C11-54</f>
        <v>753.66666666666674</v>
      </c>
      <c r="D10" s="3">
        <f>D8-30</f>
        <v>270</v>
      </c>
      <c r="E10">
        <v>1</v>
      </c>
    </row>
    <row r="11" spans="1:5" x14ac:dyDescent="0.2">
      <c r="B11" t="s">
        <v>40</v>
      </c>
      <c r="C11">
        <f>C12-23</f>
        <v>363.33333333333331</v>
      </c>
      <c r="D11">
        <f>D8-30</f>
        <v>270</v>
      </c>
      <c r="E11">
        <v>1</v>
      </c>
    </row>
    <row r="12" spans="1:5" x14ac:dyDescent="0.2">
      <c r="B12" t="s">
        <v>41</v>
      </c>
      <c r="C12">
        <f>C8/3-4</f>
        <v>386.33333333333331</v>
      </c>
      <c r="D12">
        <f>C4+15</f>
        <v>515</v>
      </c>
      <c r="E12">
        <v>3</v>
      </c>
    </row>
    <row r="14" spans="1:5" x14ac:dyDescent="0.2">
      <c r="B14" s="2" t="s">
        <v>21</v>
      </c>
      <c r="C14" s="2">
        <f>C8-4</f>
        <v>1167</v>
      </c>
      <c r="D14" s="2">
        <f>C9+34</f>
        <v>498</v>
      </c>
      <c r="E14">
        <v>1</v>
      </c>
    </row>
    <row r="16" spans="1:5" ht="15.75" thickBot="1" x14ac:dyDescent="0.25"/>
    <row r="17" spans="3:5" x14ac:dyDescent="0.2">
      <c r="C17" s="18"/>
      <c r="D17" s="15"/>
      <c r="E17" s="11"/>
    </row>
    <row r="18" spans="3:5" x14ac:dyDescent="0.2">
      <c r="C18" s="19"/>
      <c r="D18" s="16"/>
      <c r="E18" s="12"/>
    </row>
    <row r="19" spans="3:5" x14ac:dyDescent="0.2">
      <c r="C19" s="19"/>
      <c r="D19" s="16"/>
      <c r="E19" s="12"/>
    </row>
    <row r="20" spans="3:5" ht="15.75" thickBot="1" x14ac:dyDescent="0.25">
      <c r="C20" s="20"/>
      <c r="D20" s="17"/>
      <c r="E20" s="1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3236-7B94-E44B-96E6-655E50EB2B49}">
  <dimension ref="A1:J3"/>
  <sheetViews>
    <sheetView topLeftCell="F1" zoomScaleNormal="100" zoomScaleSheetLayoutView="100" workbookViewId="0">
      <selection activeCell="J11" sqref="J11"/>
    </sheetView>
  </sheetViews>
  <sheetFormatPr defaultRowHeight="15" x14ac:dyDescent="0.2"/>
  <cols>
    <col min="5" max="5" width="10.0859375" customWidth="1"/>
    <col min="6" max="6" width="9.68359375" customWidth="1"/>
    <col min="7" max="7" width="10.76171875" customWidth="1"/>
    <col min="8" max="8" width="11.56640625" customWidth="1"/>
    <col min="9" max="9" width="13.5859375" customWidth="1"/>
    <col min="10" max="10" width="16.41015625" customWidth="1"/>
  </cols>
  <sheetData>
    <row r="1" spans="1:10" x14ac:dyDescent="0.2">
      <c r="A1" t="s">
        <v>163</v>
      </c>
      <c r="B1" t="s">
        <v>164</v>
      </c>
      <c r="C1" t="s">
        <v>88</v>
      </c>
      <c r="D1" t="s">
        <v>165</v>
      </c>
      <c r="E1" t="s">
        <v>166</v>
      </c>
      <c r="F1" t="s">
        <v>166</v>
      </c>
      <c r="G1" t="s">
        <v>167</v>
      </c>
      <c r="H1" t="s">
        <v>167</v>
      </c>
      <c r="I1" t="s">
        <v>168</v>
      </c>
      <c r="J1" t="s">
        <v>169</v>
      </c>
    </row>
    <row r="2" spans="1:10" x14ac:dyDescent="0.2">
      <c r="A2" t="s">
        <v>170</v>
      </c>
      <c r="B2">
        <v>900</v>
      </c>
      <c r="C2">
        <v>600</v>
      </c>
      <c r="D2">
        <v>12</v>
      </c>
      <c r="E2" t="s">
        <v>171</v>
      </c>
      <c r="F2" t="s">
        <v>172</v>
      </c>
      <c r="G2" t="s">
        <v>172</v>
      </c>
      <c r="I2" t="s">
        <v>173</v>
      </c>
      <c r="J2" t="s">
        <v>100</v>
      </c>
    </row>
    <row r="3" spans="1:10" x14ac:dyDescent="0.2">
      <c r="A3" t="s">
        <v>170</v>
      </c>
      <c r="B3">
        <v>704</v>
      </c>
      <c r="C3">
        <v>965</v>
      </c>
      <c r="D3">
        <v>7</v>
      </c>
      <c r="E3" t="s">
        <v>174</v>
      </c>
      <c r="F3" t="s">
        <v>174</v>
      </c>
      <c r="G3" t="s">
        <v>174</v>
      </c>
      <c r="I3" t="s">
        <v>173</v>
      </c>
      <c r="J3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F6F8-2C3F-B045-B918-1F1B68C0D125}">
  <dimension ref="A1:G42"/>
  <sheetViews>
    <sheetView zoomScaleNormal="100" zoomScaleSheetLayoutView="100" workbookViewId="0">
      <selection activeCell="H6" sqref="H6"/>
    </sheetView>
  </sheetViews>
  <sheetFormatPr defaultRowHeight="15" x14ac:dyDescent="0.2"/>
  <sheetData>
    <row r="1" spans="1:6" x14ac:dyDescent="0.2">
      <c r="A1" t="s">
        <v>121</v>
      </c>
    </row>
    <row r="4" spans="1:6" ht="15.75" thickBot="1" x14ac:dyDescent="0.25">
      <c r="B4" t="s">
        <v>88</v>
      </c>
      <c r="C4" s="9">
        <v>1600</v>
      </c>
    </row>
    <row r="5" spans="1:6" x14ac:dyDescent="0.2">
      <c r="B5" t="s">
        <v>86</v>
      </c>
      <c r="C5" s="1">
        <v>500</v>
      </c>
    </row>
    <row r="6" spans="1:6" x14ac:dyDescent="0.2">
      <c r="B6" t="s">
        <v>123</v>
      </c>
      <c r="C6" s="1">
        <v>330</v>
      </c>
    </row>
    <row r="8" spans="1:6" x14ac:dyDescent="0.2">
      <c r="C8" t="s">
        <v>122</v>
      </c>
      <c r="D8">
        <f>C4</f>
        <v>1600</v>
      </c>
      <c r="E8">
        <f>C6</f>
        <v>330</v>
      </c>
      <c r="F8">
        <v>2</v>
      </c>
    </row>
    <row r="9" spans="1:6" x14ac:dyDescent="0.2">
      <c r="C9" t="s">
        <v>2</v>
      </c>
      <c r="D9">
        <f>C5-36</f>
        <v>464</v>
      </c>
      <c r="E9">
        <f>C6</f>
        <v>330</v>
      </c>
      <c r="F9">
        <v>3</v>
      </c>
    </row>
    <row r="10" spans="1:6" x14ac:dyDescent="0.2">
      <c r="C10" t="s">
        <v>40</v>
      </c>
      <c r="D10">
        <f>C4/2-27</f>
        <v>773</v>
      </c>
      <c r="E10">
        <f>C6-30</f>
        <v>300</v>
      </c>
      <c r="F10">
        <v>2</v>
      </c>
    </row>
    <row r="11" spans="1:6" x14ac:dyDescent="0.2">
      <c r="C11" t="s">
        <v>13</v>
      </c>
      <c r="D11">
        <f>C5+15</f>
        <v>515</v>
      </c>
      <c r="E11">
        <f>C4/4-4</f>
        <v>396</v>
      </c>
      <c r="F11">
        <v>4</v>
      </c>
    </row>
    <row r="13" spans="1:6" x14ac:dyDescent="0.2">
      <c r="C13" s="2" t="s">
        <v>6</v>
      </c>
      <c r="D13" s="2">
        <f>C4-2</f>
        <v>1598</v>
      </c>
      <c r="E13" s="2">
        <f>C5-2</f>
        <v>498</v>
      </c>
      <c r="F13">
        <v>1</v>
      </c>
    </row>
    <row r="16" spans="1:6" ht="15.75" thickBot="1" x14ac:dyDescent="0.25"/>
    <row r="17" spans="3:7" x14ac:dyDescent="0.2">
      <c r="D17" s="15"/>
      <c r="E17" s="10"/>
      <c r="F17" s="15"/>
      <c r="G17" s="11"/>
    </row>
    <row r="18" spans="3:7" x14ac:dyDescent="0.2">
      <c r="D18" s="16"/>
      <c r="E18" s="5"/>
      <c r="F18" s="16"/>
      <c r="G18" s="12"/>
    </row>
    <row r="19" spans="3:7" x14ac:dyDescent="0.2">
      <c r="D19" s="16"/>
      <c r="E19" s="5"/>
      <c r="F19" s="16"/>
      <c r="G19" s="12"/>
    </row>
    <row r="20" spans="3:7" x14ac:dyDescent="0.2">
      <c r="D20" s="16"/>
      <c r="E20" s="5"/>
      <c r="F20" s="16"/>
      <c r="G20" s="12"/>
    </row>
    <row r="21" spans="3:7" ht="15.75" thickBot="1" x14ac:dyDescent="0.25">
      <c r="D21" s="17"/>
      <c r="E21" s="13"/>
      <c r="F21" s="17"/>
      <c r="G21" s="14"/>
    </row>
    <row r="31" spans="3:7" x14ac:dyDescent="0.2">
      <c r="C31" s="5"/>
    </row>
    <row r="32" spans="3:7" x14ac:dyDescent="0.2">
      <c r="C32" s="5"/>
    </row>
    <row r="33" spans="3:6" x14ac:dyDescent="0.2">
      <c r="C33" s="5"/>
    </row>
    <row r="42" spans="3:6" x14ac:dyDescent="0.2">
      <c r="F4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Cajonera 3c</vt:lpstr>
      <vt:lpstr>Especiero </vt:lpstr>
      <vt:lpstr>Alac levad 2 p</vt:lpstr>
      <vt:lpstr>Escobero </vt:lpstr>
      <vt:lpstr>Mesa lus flot </vt:lpstr>
      <vt:lpstr>Mesa dé luz </vt:lpstr>
      <vt:lpstr>Esquí-p.fíj</vt:lpstr>
      <vt:lpstr>Caj dob 4c</vt:lpstr>
      <vt:lpstr>Sobre helad</vt:lpstr>
      <vt:lpstr>Alac 4p lev</vt:lpstr>
      <vt:lpstr>Alac.plac.fij.</vt:lpstr>
      <vt:lpstr>Alac 1pL</vt:lpstr>
      <vt:lpstr>Módulo micro</vt:lpstr>
      <vt:lpstr>Armario 2p</vt:lpstr>
      <vt:lpstr>Módulo abierto</vt:lpstr>
      <vt:lpstr>Torré horno </vt:lpstr>
      <vt:lpstr>Despensero 4p</vt:lpstr>
      <vt:lpstr>Bajo 2p</vt:lpstr>
      <vt:lpstr>Placard 2p en esp</vt:lpstr>
      <vt:lpstr>Placard 3p</vt:lpstr>
      <vt:lpstr>Int.placard + frente</vt:lpstr>
      <vt:lpstr>Bajo 2p3c</vt:lpstr>
      <vt:lpstr>Esq PF 2 pue </vt:lpstr>
      <vt:lpstr>Placard 2p 1Lp</vt:lpstr>
      <vt:lpstr>Cajone 2c</vt:lpstr>
      <vt:lpstr>Esquinero </vt:lpstr>
      <vt:lpstr>Alac 2pA</vt:lpstr>
      <vt:lpstr>Bajo 1p</vt:lpstr>
      <vt:lpstr>Bajo 3p</vt:lpstr>
      <vt:lpstr>Vanitory 2c</vt:lpstr>
      <vt:lpstr>Bajo 4 p</vt:lpstr>
      <vt:lpstr>Alac 3p A</vt:lpstr>
      <vt:lpstr>Hoja1</vt:lpstr>
      <vt:lpstr>Alac 4p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bustos</dc:creator>
  <dcterms:created xsi:type="dcterms:W3CDTF">2022-11-16T21:59:23Z</dcterms:created>
</cp:coreProperties>
</file>